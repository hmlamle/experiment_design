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fiudit-my.sharepoint.com/personal/hlaml001_fiu_edu/Documents/1.Research/2.Bleaching_spectral_traits/3.analysis/frag_placement/experiment_randomization/"/>
    </mc:Choice>
  </mc:AlternateContent>
  <xr:revisionPtr revIDLastSave="18" documentId="8_{CA85E00D-803E-4321-9821-6EE922B8C34E}" xr6:coauthVersionLast="47" xr6:coauthVersionMax="47" xr10:uidLastSave="{B5EA9533-2AEC-473F-B67F-73799A1B5CC2}"/>
  <bookViews>
    <workbookView xWindow="28680" yWindow="-120" windowWidth="29040" windowHeight="15720" xr2:uid="{00000000-000D-0000-FFFF-FFFF00000000}"/>
  </bookViews>
  <sheets>
    <sheet name="data" sheetId="1" r:id="rId1"/>
    <sheet name="Calcul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  <c r="B3" i="2" s="1"/>
  <c r="B22" i="2" l="1"/>
  <c r="B21" i="2"/>
  <c r="B16" i="2"/>
  <c r="B17" i="2"/>
  <c r="B18" i="2"/>
  <c r="B19" i="2"/>
  <c r="B20" i="2"/>
  <c r="B4" i="2"/>
  <c r="B14" i="2"/>
  <c r="B13" i="2"/>
  <c r="B15" i="2"/>
  <c r="B12" i="2"/>
  <c r="B11" i="2"/>
  <c r="B10" i="2"/>
  <c r="B9" i="2"/>
  <c r="B8" i="2"/>
  <c r="B7" i="2"/>
  <c r="B5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tc={49B2CC31-FE8C-414A-8C01-C9A8D00C6DD3}</author>
  </authors>
  <commentList>
    <comment ref="F274" authorId="0" shapeId="0" xr:uid="{49B2CC31-FE8C-414A-8C01-C9A8D00C6DD3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2 on sheet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<sst xmlns="http://schemas.openxmlformats.org/spreadsheetml/2006/main" count="2913" uniqueCount="569">
  <si>
    <t>fragment_ID</t>
  </si>
  <si>
    <t>species</t>
  </si>
  <si>
    <t>date</t>
  </si>
  <si>
    <t>time</t>
  </si>
  <si>
    <t>site</t>
  </si>
  <si>
    <t>depth_m</t>
  </si>
  <si>
    <t>temp_C</t>
  </si>
  <si>
    <t>collector</t>
  </si>
  <si>
    <t>old_tag</t>
  </si>
  <si>
    <t>notes</t>
  </si>
  <si>
    <t>pom7-ssid01-01302026</t>
  </si>
  <si>
    <t>ssid</t>
  </si>
  <si>
    <t>na</t>
  </si>
  <si>
    <t>POM 7</t>
  </si>
  <si>
    <t>HML</t>
  </si>
  <si>
    <t>POM1</t>
  </si>
  <si>
    <t>depth data is averaged from photomosaic depths</t>
  </si>
  <si>
    <t>pom7-ssid02-01302026</t>
  </si>
  <si>
    <t>POM2</t>
  </si>
  <si>
    <t>pom7-ssid03-01302026</t>
  </si>
  <si>
    <t>POM3</t>
  </si>
  <si>
    <t>pom7-ssid04-01302026</t>
  </si>
  <si>
    <t>POM4</t>
  </si>
  <si>
    <t>pom7-ssid05-01302026</t>
  </si>
  <si>
    <t>POM5</t>
  </si>
  <si>
    <t>pev13-ssid01-02042026</t>
  </si>
  <si>
    <t>PEV 13</t>
  </si>
  <si>
    <t>PEV13-1</t>
  </si>
  <si>
    <t>pev13-ssid02-02042026</t>
  </si>
  <si>
    <t>PEV13-2</t>
  </si>
  <si>
    <t>pev13-ssid03-02042026</t>
  </si>
  <si>
    <t>PEV13-3</t>
  </si>
  <si>
    <t>pev13-ssid04-02042026</t>
  </si>
  <si>
    <t>PEV13-4</t>
  </si>
  <si>
    <t>pev13-ssid05-02042026</t>
  </si>
  <si>
    <t>PEV13-5</t>
  </si>
  <si>
    <t>pev13-ssid06-02042026</t>
  </si>
  <si>
    <t>ROS</t>
  </si>
  <si>
    <t>PEV13-6</t>
  </si>
  <si>
    <t>depth data is averaged from photomosaic depths. Not sitting on plug, frag too big</t>
  </si>
  <si>
    <t>pev13-ssid07-02042026</t>
  </si>
  <si>
    <t>PEV13-7</t>
  </si>
  <si>
    <t>pev13-ssid08-02042026</t>
  </si>
  <si>
    <t>PEV13-8</t>
  </si>
  <si>
    <t>pev13-ssid09-02042026</t>
  </si>
  <si>
    <t>PEV13-9</t>
  </si>
  <si>
    <t>pev13-ssid10-02042026</t>
  </si>
  <si>
    <t>PEV13-10</t>
  </si>
  <si>
    <t>pev13-ssid11-02042026</t>
  </si>
  <si>
    <t>PEV13-11</t>
  </si>
  <si>
    <t>ftlb2-ssid01-03222026</t>
  </si>
  <si>
    <t>FTL-B2</t>
  </si>
  <si>
    <t>NIR</t>
  </si>
  <si>
    <t>FTLB2-1</t>
  </si>
  <si>
    <t>ftlb2-ssid02-03222026</t>
  </si>
  <si>
    <t>FTLB2-2</t>
  </si>
  <si>
    <t>ftlb2-ssid03-03222026</t>
  </si>
  <si>
    <t>FTLB2-3</t>
  </si>
  <si>
    <t>ftlb2-ssid04-03222026</t>
  </si>
  <si>
    <t>FTLB2-4</t>
  </si>
  <si>
    <t>ftlb2-ssid05-03222026</t>
  </si>
  <si>
    <t>FTLB2-5</t>
  </si>
  <si>
    <t>ftlb2-ssid06-03222026</t>
  </si>
  <si>
    <t>FTLB2-6</t>
  </si>
  <si>
    <t>ftlb2-ssid07-03222026</t>
  </si>
  <si>
    <t>FTLB2-7</t>
  </si>
  <si>
    <t>ftlb2-ssid08-03222026</t>
  </si>
  <si>
    <t>FTLB2-8</t>
  </si>
  <si>
    <t>ftlb2-ssid09-03222026</t>
  </si>
  <si>
    <t>FTLB2-9</t>
  </si>
  <si>
    <t>ftlb2-ssid10-03222026</t>
  </si>
  <si>
    <t>FTLB2-10</t>
  </si>
  <si>
    <t>ftlb2-ssid11-03222026</t>
  </si>
  <si>
    <t>FTLB2-11</t>
  </si>
  <si>
    <t>ftlb2-ssid12-03222026</t>
  </si>
  <si>
    <t>FTLB2-12</t>
  </si>
  <si>
    <t>potentially missing</t>
  </si>
  <si>
    <t>ftlb2-ssid13-03222026</t>
  </si>
  <si>
    <t>FTLB2-13</t>
  </si>
  <si>
    <t>ftlb2-ssid14-03222026</t>
  </si>
  <si>
    <t>FTLB2-14</t>
  </si>
  <si>
    <t>ftlb2-ssid15-03222026</t>
  </si>
  <si>
    <t>FTLB2-15</t>
  </si>
  <si>
    <t>ftlb2-ssid16-03222026</t>
  </si>
  <si>
    <t>FTLB2-16</t>
  </si>
  <si>
    <t>ftlb2-ssid17-03222026</t>
  </si>
  <si>
    <t>FTLB2-17</t>
  </si>
  <si>
    <t>ftlb2-ssid18-03222026</t>
  </si>
  <si>
    <t>FTLB2-18</t>
  </si>
  <si>
    <t>pev1-ssid01-032226</t>
  </si>
  <si>
    <t>PEV 1</t>
  </si>
  <si>
    <t>PEV1-1N</t>
  </si>
  <si>
    <t>pev1-ssid02-032226</t>
  </si>
  <si>
    <t>PEV1-2N</t>
  </si>
  <si>
    <t>pev1-ssid03-032226</t>
  </si>
  <si>
    <t>PEV1-3N</t>
  </si>
  <si>
    <t>pev1-ssid04-032226</t>
  </si>
  <si>
    <t>PEV1-4N</t>
  </si>
  <si>
    <t>pev1-ssid05-032226</t>
  </si>
  <si>
    <t>PEV1-5N</t>
  </si>
  <si>
    <t>pev1-ssid06-032226</t>
  </si>
  <si>
    <t>PEV1-6N</t>
  </si>
  <si>
    <t>pev1-ssid07-032226</t>
  </si>
  <si>
    <t>PEV1-7N</t>
  </si>
  <si>
    <t>pev1-ssid08-032226</t>
  </si>
  <si>
    <t>PEV1-8N</t>
  </si>
  <si>
    <t>MISSING</t>
  </si>
  <si>
    <t>pev1-ssid12-032226</t>
  </si>
  <si>
    <t>PEV-1-12</t>
  </si>
  <si>
    <t>pev1-ssid13-032226</t>
  </si>
  <si>
    <t>PEV-1-13HML</t>
  </si>
  <si>
    <t>pev1-ssid14-032226</t>
  </si>
  <si>
    <t>PEV-1-14</t>
  </si>
  <si>
    <t>pev1-ssid15-032226</t>
  </si>
  <si>
    <t>PEV-1-15</t>
  </si>
  <si>
    <t>ftlb1-ssid01-03232026</t>
  </si>
  <si>
    <t>FTL-B1</t>
  </si>
  <si>
    <t>FTLB1-1</t>
  </si>
  <si>
    <t>ftlb1-ssid02-03232026</t>
  </si>
  <si>
    <t>FTLB1-2</t>
  </si>
  <si>
    <t>ftlb1-ssid03-03232026</t>
  </si>
  <si>
    <t>FTLB1-3</t>
  </si>
  <si>
    <t>ftlb1-ssid04-03232026</t>
  </si>
  <si>
    <t>FTLB1-4</t>
  </si>
  <si>
    <t>?</t>
  </si>
  <si>
    <t>ftlb1-ssid05-03232026</t>
  </si>
  <si>
    <t>FTLB1-5</t>
  </si>
  <si>
    <t>ftlb1-ssid06-03232026</t>
  </si>
  <si>
    <t>FTLB1-6</t>
  </si>
  <si>
    <t>ftlb1-ssid07-03232026</t>
  </si>
  <si>
    <t>FTLB1-7</t>
  </si>
  <si>
    <t>ftlb1-ssid08-03232026</t>
  </si>
  <si>
    <t>FTLB1-8N</t>
  </si>
  <si>
    <t>ftlb1-ssid09-03232026</t>
  </si>
  <si>
    <t>FTLB1-8</t>
  </si>
  <si>
    <t>ftlb1-ssid10-03232026</t>
  </si>
  <si>
    <t>FTLB1-9</t>
  </si>
  <si>
    <t>ftlb1-ssid11-03232026</t>
  </si>
  <si>
    <t>FTLB1-10</t>
  </si>
  <si>
    <t>ftlb1-ssid12-03232026</t>
  </si>
  <si>
    <t>FTLB1-11</t>
  </si>
  <si>
    <t>ftlb1-ssid13-03232026</t>
  </si>
  <si>
    <t>FTLB1-12</t>
  </si>
  <si>
    <t>ftlb1-ssid14-03232026</t>
  </si>
  <si>
    <t>FTLB1-13</t>
  </si>
  <si>
    <t>ftlb1-ssid15-03232026</t>
  </si>
  <si>
    <t>FTLB1-14</t>
  </si>
  <si>
    <t>ftlb1-ssid16-03232026</t>
  </si>
  <si>
    <t>FTLB1-15</t>
  </si>
  <si>
    <t>pev5-ssid01-03232026</t>
  </si>
  <si>
    <t>PEV 5</t>
  </si>
  <si>
    <t>PEV5-1</t>
  </si>
  <si>
    <t>pev5-ssid02-03232026</t>
  </si>
  <si>
    <t>PEV5-2</t>
  </si>
  <si>
    <t>pev5-ssid03-03232026</t>
  </si>
  <si>
    <t>PEV5-3</t>
  </si>
  <si>
    <t>pev5-ssid04-03232026</t>
  </si>
  <si>
    <t>PEV5-4</t>
  </si>
  <si>
    <t>pev5-ssid05-03232026</t>
  </si>
  <si>
    <t>PEV5-5</t>
  </si>
  <si>
    <t>pev5-ssid06-03232026</t>
  </si>
  <si>
    <t>PEV5-6</t>
  </si>
  <si>
    <t>pev5-ssid07-03232026</t>
  </si>
  <si>
    <t>PEV5-7</t>
  </si>
  <si>
    <t>pev5-ssid08-03232026</t>
  </si>
  <si>
    <t>PEV5-8</t>
  </si>
  <si>
    <t>pev5-ssid09-03232026</t>
  </si>
  <si>
    <t>PEV5-9</t>
  </si>
  <si>
    <t>pev5-ssid10-03232026</t>
  </si>
  <si>
    <t>PEV5-10</t>
  </si>
  <si>
    <t>pev5-ssid11-03232026</t>
  </si>
  <si>
    <t>PEV5-11</t>
  </si>
  <si>
    <t>pev5-ssid12-03232026</t>
  </si>
  <si>
    <t>PEV5-12</t>
  </si>
  <si>
    <t>pev5-ssid13-03232026</t>
  </si>
  <si>
    <t>PEV5-13</t>
  </si>
  <si>
    <t>pev5-ssid14-03232026</t>
  </si>
  <si>
    <t>PEV5-14</t>
  </si>
  <si>
    <t>pev5-ssid15-03232026</t>
  </si>
  <si>
    <t>PEV5-15</t>
  </si>
  <si>
    <t>mb1-ssid01-03252026</t>
  </si>
  <si>
    <t>MB 2</t>
  </si>
  <si>
    <t>mb1-ssid02-03252026</t>
  </si>
  <si>
    <t>mb1-ssid03-03252026</t>
  </si>
  <si>
    <t>mb1-ssid04-03252026</t>
  </si>
  <si>
    <t>mb1-ssid05-03252026</t>
  </si>
  <si>
    <t>mb1-ssid06-03252026</t>
  </si>
  <si>
    <t>mb1-ssid07-03252026</t>
  </si>
  <si>
    <t>mb1-ssid08-03252026</t>
  </si>
  <si>
    <t>mb1-ssid09-03252026</t>
  </si>
  <si>
    <t>mb1-ssid10-03252026</t>
  </si>
  <si>
    <t>mb1-ssid11-03252026</t>
  </si>
  <si>
    <t>mb1-ssid12-03252026</t>
  </si>
  <si>
    <t>mb1-ssid12B-032526</t>
  </si>
  <si>
    <t>MB2</t>
  </si>
  <si>
    <t>mb1-ssid13-03252026</t>
  </si>
  <si>
    <t>mb1-ssid14-03252026</t>
  </si>
  <si>
    <t>mb1-ssid15-03252026</t>
  </si>
  <si>
    <t>pom1-ssid01-03252026</t>
  </si>
  <si>
    <t>POM 1</t>
  </si>
  <si>
    <t>pom1-ssid02-03252026</t>
  </si>
  <si>
    <t>pom1-ssid03-03252026</t>
  </si>
  <si>
    <t>pom1-ssid04-03252026</t>
  </si>
  <si>
    <t>pom1-ssid05-03252026</t>
  </si>
  <si>
    <t>pom1-ssid06-03252026</t>
  </si>
  <si>
    <t>pom1-ssid07-03252026</t>
  </si>
  <si>
    <t>pom1-ssid08-03252026</t>
  </si>
  <si>
    <t>pom1-ssid09-03252026</t>
  </si>
  <si>
    <t>pom1-ssid10-03252026</t>
  </si>
  <si>
    <t>pom1-ssid11-03252026</t>
  </si>
  <si>
    <t>pom1-ssid12-03252026</t>
  </si>
  <si>
    <t>pom1-ssid13-03252026</t>
  </si>
  <si>
    <t>pom1-ssid14-03252026</t>
  </si>
  <si>
    <t>pom1-ssid15-03252026</t>
  </si>
  <si>
    <t>pom1-ssid16-03252026</t>
  </si>
  <si>
    <t>POM Green</t>
  </si>
  <si>
    <t>pom1-ssid17-03252026</t>
  </si>
  <si>
    <t xml:space="preserve">POM y </t>
  </si>
  <si>
    <t>cave-ssid01-04162026</t>
  </si>
  <si>
    <t>Caves</t>
  </si>
  <si>
    <t>cave-ssid02-04162026</t>
  </si>
  <si>
    <t>cave-ssid03-04162026</t>
  </si>
  <si>
    <t>cave-ssid04-04162026</t>
  </si>
  <si>
    <t>cave-ssid05-04162026</t>
  </si>
  <si>
    <t>cave-ssid06-04162026</t>
  </si>
  <si>
    <t>cave-ssid07-04162026</t>
  </si>
  <si>
    <t>cave-ssid08-04162026</t>
  </si>
  <si>
    <t>cave-ssid09-04162026</t>
  </si>
  <si>
    <t>cave-ssid10-04162026</t>
  </si>
  <si>
    <t>cave-ssid11-04162026</t>
  </si>
  <si>
    <t>cave-ssid12-04162026</t>
  </si>
  <si>
    <t>cave-ssid13-04162026</t>
  </si>
  <si>
    <t>cave-ssid14-04162026</t>
  </si>
  <si>
    <t>cave-ssid15-04162026</t>
  </si>
  <si>
    <t>cave-ssid16-04162026</t>
  </si>
  <si>
    <t>cave-ssid17-04162026</t>
  </si>
  <si>
    <t>cave-ssid18-04162026</t>
  </si>
  <si>
    <t>cave-ssid19-04162026</t>
  </si>
  <si>
    <t>cave-ssid20-04162026</t>
  </si>
  <si>
    <t>cave-ssid21-04162026</t>
  </si>
  <si>
    <t>cave-ssid22-04162026</t>
  </si>
  <si>
    <t>cave-ssid23-04162026</t>
  </si>
  <si>
    <t>cave-ssid24-04162026</t>
  </si>
  <si>
    <t>cave-ssid25-04162026</t>
  </si>
  <si>
    <t>cave-ssid26-04162026</t>
  </si>
  <si>
    <t>cave-ssid27-04162026</t>
  </si>
  <si>
    <t>cave-ssid28-04162026</t>
  </si>
  <si>
    <t>cave-ssid29-04162026</t>
  </si>
  <si>
    <t>cave-ssid30-04162026</t>
  </si>
  <si>
    <t>POM3-ssid01-04172026</t>
  </si>
  <si>
    <t>POM3-ssid02-04172026</t>
  </si>
  <si>
    <t>POM3-ssid03-04172026</t>
  </si>
  <si>
    <t>POM3-ssid09-04172026</t>
  </si>
  <si>
    <t>POM3-ssid12-04172026</t>
  </si>
  <si>
    <t>POM3-ssid13-04172026</t>
  </si>
  <si>
    <t>POM3-ssid14-04172026</t>
  </si>
  <si>
    <t>POM3-ssid16-04172026</t>
  </si>
  <si>
    <t>POM3-ssid18-04172026</t>
  </si>
  <si>
    <t>POM3-ssid21-04172026</t>
  </si>
  <si>
    <t>sc-ssid01-04182026</t>
  </si>
  <si>
    <t>South Canyon</t>
  </si>
  <si>
    <t>sc-ssid02-04182026</t>
  </si>
  <si>
    <t>sc-ssid03-04182026</t>
  </si>
  <si>
    <t>sc-ssid04-04182026</t>
  </si>
  <si>
    <t>sc-ssid05-04182026</t>
  </si>
  <si>
    <t>sc-ssid06-04182026</t>
  </si>
  <si>
    <t>sc-ssid07-04182026</t>
  </si>
  <si>
    <t>sc-ssid08-04182026</t>
  </si>
  <si>
    <t>sc-ssid09-04182026</t>
  </si>
  <si>
    <t>sc-ssid10-04182026</t>
  </si>
  <si>
    <t>sc-ssid12-04182026</t>
  </si>
  <si>
    <t>sc-ssid13-04182026</t>
  </si>
  <si>
    <t>sc-ssid14-04182026</t>
  </si>
  <si>
    <t>sc-ssid15-04182026</t>
  </si>
  <si>
    <t>sc-ssid16-04182026</t>
  </si>
  <si>
    <t>sc-ssid17-04182026</t>
  </si>
  <si>
    <t>sc-ssid18-04182026</t>
  </si>
  <si>
    <t>sc-ssid19-04182026</t>
  </si>
  <si>
    <t>sc-ssid20-04182026</t>
  </si>
  <si>
    <t>sc-ssid21-04182026</t>
  </si>
  <si>
    <t>sc-ssid22-04182026</t>
  </si>
  <si>
    <t>sc-ssid23-04182026</t>
  </si>
  <si>
    <t>sc-ssid24-04182026</t>
  </si>
  <si>
    <t>sc-ssid25-04182026</t>
  </si>
  <si>
    <t>sc-ssid26-04182026</t>
  </si>
  <si>
    <t>sc-ssid27-04182026</t>
  </si>
  <si>
    <t>sc-ssid28-04182026</t>
  </si>
  <si>
    <t>sc-ssid29-04182026</t>
  </si>
  <si>
    <t>sc-ssid30-04182026</t>
  </si>
  <si>
    <t>Emerald Reef</t>
  </si>
  <si>
    <t>EMERALD-sid10-052026</t>
  </si>
  <si>
    <t>EMERALD-sid11-052026</t>
  </si>
  <si>
    <t>EMERALD-sid12-052026</t>
  </si>
  <si>
    <t>EMERALD-sid13-052026</t>
  </si>
  <si>
    <t>EMERALD-sid14-052026</t>
  </si>
  <si>
    <t>EMERALD-sid15-052026</t>
  </si>
  <si>
    <t>EMERALD-sid16-052026</t>
  </si>
  <si>
    <t>EMERALD-sid17-052026</t>
  </si>
  <si>
    <t>EMERALD-sid18-052026</t>
  </si>
  <si>
    <t>VRR</t>
  </si>
  <si>
    <t>EMERALD-sid19-052026</t>
  </si>
  <si>
    <t>EMERALD-sid20-052026</t>
  </si>
  <si>
    <t>EMERALD-sid21-052026</t>
  </si>
  <si>
    <t>EMERALD-sid22-052026</t>
  </si>
  <si>
    <t>EMERALD-sid23-052026</t>
  </si>
  <si>
    <t>EMERALD-sid24-052026</t>
  </si>
  <si>
    <t>EMERALD-sid25-052026</t>
  </si>
  <si>
    <t>EMERALD-sid26-052026</t>
  </si>
  <si>
    <t>EMERALD-sid27-052026</t>
  </si>
  <si>
    <t>EMERALD-sid28-052026</t>
  </si>
  <si>
    <t>EMERALD-sid29-052026</t>
  </si>
  <si>
    <t>EMERALD-sid30-052026</t>
  </si>
  <si>
    <t>EMERALD-sid31-052026</t>
  </si>
  <si>
    <t>EMERALD-sid32-052026</t>
  </si>
  <si>
    <t>EMERALD-sid33-052026</t>
  </si>
  <si>
    <t>EMERALD-sid34-052026</t>
  </si>
  <si>
    <t>EMERALD-sid35-052026</t>
  </si>
  <si>
    <t>EMERALD-sid36-052026</t>
  </si>
  <si>
    <t>EMERALD-sid37-052026</t>
  </si>
  <si>
    <t>JR's Ledge</t>
  </si>
  <si>
    <t>JR-sid10-052026</t>
  </si>
  <si>
    <t>JR-sid11-052026</t>
  </si>
  <si>
    <t>JR-sid12-052026</t>
  </si>
  <si>
    <t>JR-sid13-052026</t>
  </si>
  <si>
    <t>JR-sid14-052026</t>
  </si>
  <si>
    <t>JR-sid15-052026</t>
  </si>
  <si>
    <t>JR-sid16-052026</t>
  </si>
  <si>
    <t>JR-sid17-052026</t>
  </si>
  <si>
    <t>JR-sid18-052026</t>
  </si>
  <si>
    <t>JR-sid19-052026</t>
  </si>
  <si>
    <t>JR-sid20-052026</t>
  </si>
  <si>
    <t>JR-sid21-052026</t>
  </si>
  <si>
    <t>JR-sid22-052026</t>
  </si>
  <si>
    <t>JR-sid23-052026</t>
  </si>
  <si>
    <t>JR-sid24-052026</t>
  </si>
  <si>
    <t>JR-sid25-052026</t>
  </si>
  <si>
    <t>JR-sid26-052026</t>
  </si>
  <si>
    <t>JR-sid27-052026</t>
  </si>
  <si>
    <t>JR-sid28-052026</t>
  </si>
  <si>
    <t>JR-sid29-052026</t>
  </si>
  <si>
    <t>JR-sid30-052026</t>
  </si>
  <si>
    <t>JR-sid31-052026</t>
  </si>
  <si>
    <t>JR-sid32-052026</t>
  </si>
  <si>
    <t>JR-sid33-052026</t>
  </si>
  <si>
    <t>JR-sid34-052026</t>
  </si>
  <si>
    <t>JR-sid35-052026</t>
  </si>
  <si>
    <t>JR-sid36-052026</t>
  </si>
  <si>
    <t>JR-sid37-052026</t>
  </si>
  <si>
    <t>JR-sid38-052026</t>
  </si>
  <si>
    <t>Reverse Reef</t>
  </si>
  <si>
    <t>REV-sid10-052026</t>
  </si>
  <si>
    <t>REV-sid11-052026</t>
  </si>
  <si>
    <t>REV-sid12-052026</t>
  </si>
  <si>
    <t>REV-sid13-052026</t>
  </si>
  <si>
    <t>REV-sid14-052026</t>
  </si>
  <si>
    <t>REV-sid15-052026</t>
  </si>
  <si>
    <t>REV-sid16-052026</t>
  </si>
  <si>
    <t>REV-sid17-052026</t>
  </si>
  <si>
    <t>REV-sid18-052026</t>
  </si>
  <si>
    <t>REV-sid19-052026</t>
  </si>
  <si>
    <t>REV-sid20-052026</t>
  </si>
  <si>
    <t>REV-sid21-052026</t>
  </si>
  <si>
    <t>REV-sid22-052026</t>
  </si>
  <si>
    <t>REV-sid23-052026</t>
  </si>
  <si>
    <t>REV-sid24-052026</t>
  </si>
  <si>
    <t>REV-sid25-052026</t>
  </si>
  <si>
    <t>REV-sid26-052026</t>
  </si>
  <si>
    <t>REV-sid27-052026</t>
  </si>
  <si>
    <t>REV-sid28-052026</t>
  </si>
  <si>
    <t>REV-sid29-052026</t>
  </si>
  <si>
    <t>REV-sid30-052026</t>
  </si>
  <si>
    <t>REV-sid31-052026</t>
  </si>
  <si>
    <t>REV-sid32-052026</t>
  </si>
  <si>
    <t>REV-sid33-052026</t>
  </si>
  <si>
    <t>REV-sid34-052026</t>
  </si>
  <si>
    <t>REV-sid35-052026</t>
  </si>
  <si>
    <t>REV-sid36-052026</t>
  </si>
  <si>
    <t>Hollywood</t>
  </si>
  <si>
    <t>HB-sid11-051426</t>
  </si>
  <si>
    <t>HB-sid12-051426</t>
  </si>
  <si>
    <t>HB-sid16-051426</t>
  </si>
  <si>
    <t>HB-sid19-051426</t>
  </si>
  <si>
    <t>HB-sid20-051426</t>
  </si>
  <si>
    <t>HB-sid21-051426</t>
  </si>
  <si>
    <t>HB-sid22-051426</t>
  </si>
  <si>
    <t>HB-sid23-051426</t>
  </si>
  <si>
    <t>HB-sid26-051426</t>
  </si>
  <si>
    <t>HB-sid27-051426</t>
  </si>
  <si>
    <t>HB-sid28-051426</t>
  </si>
  <si>
    <t>HB-sid33-051426</t>
  </si>
  <si>
    <t>Graceland</t>
  </si>
  <si>
    <t>GRA-sid10-051426</t>
  </si>
  <si>
    <t>GRA-sid11-051426</t>
  </si>
  <si>
    <t>GRA-sid14-051426</t>
  </si>
  <si>
    <t>GRA-sid15-051426</t>
  </si>
  <si>
    <t>GRA-sid16-051426</t>
  </si>
  <si>
    <t>GRA-sid17-051426</t>
  </si>
  <si>
    <t>GRA-sid18-051426</t>
  </si>
  <si>
    <t>GRA-sid19-051426</t>
  </si>
  <si>
    <t>GRA-sid20-051426</t>
  </si>
  <si>
    <t>GRA-sid21-051426</t>
  </si>
  <si>
    <t>GRA-sid22-051426</t>
  </si>
  <si>
    <t>GRA-sid23-051426</t>
  </si>
  <si>
    <t>GRA-sid24-051426</t>
  </si>
  <si>
    <t>GRA-sid25-051426</t>
  </si>
  <si>
    <t>GRA-sid26-051426</t>
  </si>
  <si>
    <t>GRA-sid27-051426</t>
  </si>
  <si>
    <t>GRA-sid28-051426</t>
  </si>
  <si>
    <t>GRA-sid29-051426</t>
  </si>
  <si>
    <t>GRA-sid30-051426</t>
  </si>
  <si>
    <t>GRA-sid31-051426</t>
  </si>
  <si>
    <t>GRA-sid32-051426</t>
  </si>
  <si>
    <t>GRA-sid33-051426</t>
  </si>
  <si>
    <t>GRA-sid34-051426</t>
  </si>
  <si>
    <t>GRA-sid35-051426</t>
  </si>
  <si>
    <t>Dania</t>
  </si>
  <si>
    <t>DB-sid11-051426</t>
  </si>
  <si>
    <t>DB-sid12-051426</t>
  </si>
  <si>
    <t>DB-sid13-051426</t>
  </si>
  <si>
    <t>DB-sid14-051426</t>
  </si>
  <si>
    <t>DB-sid15-051426</t>
  </si>
  <si>
    <t>DB-sid16-051426</t>
  </si>
  <si>
    <t>DB-sid17-051426</t>
  </si>
  <si>
    <t>DB-sid18-051426</t>
  </si>
  <si>
    <t>DB-sid19-051426</t>
  </si>
  <si>
    <t>DB-sid20-051426</t>
  </si>
  <si>
    <t>DB-sid21-051426</t>
  </si>
  <si>
    <t>DB-sid22-051426</t>
  </si>
  <si>
    <t>DB-sid23-051426</t>
  </si>
  <si>
    <t>DB-sid24-051426</t>
  </si>
  <si>
    <t>DB-sid25-051426</t>
  </si>
  <si>
    <t>DB-sid26-051426</t>
  </si>
  <si>
    <t>DB-sid27-051426</t>
  </si>
  <si>
    <t>DB-sid28-051426</t>
  </si>
  <si>
    <t>DB-sid29-051426</t>
  </si>
  <si>
    <t>DB-sid30-051426</t>
  </si>
  <si>
    <t>DB-sid31-051426</t>
  </si>
  <si>
    <t>DB-sid32-051426</t>
  </si>
  <si>
    <t>DB-sid33-051426</t>
  </si>
  <si>
    <t>DB-sid34-051426</t>
  </si>
  <si>
    <t>DB-sid35-051426</t>
  </si>
  <si>
    <t>more circular frag</t>
  </si>
  <si>
    <t>more rectangular frag</t>
  </si>
  <si>
    <t>srad</t>
  </si>
  <si>
    <t>status</t>
  </si>
  <si>
    <t>status_date</t>
  </si>
  <si>
    <t>tank</t>
  </si>
  <si>
    <t>treatment</t>
  </si>
  <si>
    <t>POM3-ssid12b-04172026</t>
  </si>
  <si>
    <t>EMERALD-sid01-052026</t>
  </si>
  <si>
    <t>EMERALD-sid02-052026</t>
  </si>
  <si>
    <t>EMERALD-sid03-052026</t>
  </si>
  <si>
    <t>EMERALD-sid04-052026</t>
  </si>
  <si>
    <t>EMERALD-sid05-052026</t>
  </si>
  <si>
    <t>EMERALD-sid06-052026</t>
  </si>
  <si>
    <t>EMERALD-sid07-052026</t>
  </si>
  <si>
    <t>EMERALD-sid08-052026</t>
  </si>
  <si>
    <t>EMERALD-sid09-052026</t>
  </si>
  <si>
    <t>DB-sid36-051426</t>
  </si>
  <si>
    <t>DB-sid37-051426</t>
  </si>
  <si>
    <t>DB-sid38-051426</t>
  </si>
  <si>
    <t>HB-sid36-051426</t>
  </si>
  <si>
    <t>sid-dead</t>
  </si>
  <si>
    <t>same genet as 12b</t>
  </si>
  <si>
    <t xml:space="preserve">same genet as 12 </t>
  </si>
  <si>
    <t>B</t>
  </si>
  <si>
    <t>H</t>
  </si>
  <si>
    <t>PD</t>
  </si>
  <si>
    <t>Discolored</t>
  </si>
  <si>
    <t>intake_reflectance?</t>
  </si>
  <si>
    <t>two frags on plug from same colony</t>
  </si>
  <si>
    <t>D</t>
  </si>
  <si>
    <t>PB</t>
  </si>
  <si>
    <t>P</t>
  </si>
  <si>
    <t>Missing? No data logged during inventory</t>
  </si>
  <si>
    <t>partially bleached, under ledge when collected</t>
  </si>
  <si>
    <t xml:space="preserve">Double sid and rad! </t>
  </si>
  <si>
    <t>DB-sid01-051426</t>
  </si>
  <si>
    <t>DB-sid02-051426</t>
  </si>
  <si>
    <t>DB-sid03-051426</t>
  </si>
  <si>
    <t>DB-sid04-051426</t>
  </si>
  <si>
    <t>DB-sid05-051426</t>
  </si>
  <si>
    <t>DB-sid06-051426</t>
  </si>
  <si>
    <t>DB-sid07-051426</t>
  </si>
  <si>
    <t>DB-sid08-051426</t>
  </si>
  <si>
    <t>DB-sid09-051426</t>
  </si>
  <si>
    <t>PP</t>
  </si>
  <si>
    <t>F</t>
  </si>
  <si>
    <t>GRA-sid01-051426</t>
  </si>
  <si>
    <t>GRA-sid02-051426</t>
  </si>
  <si>
    <t>GRA-sid03-051426</t>
  </si>
  <si>
    <t>GRA-sid05-051426</t>
  </si>
  <si>
    <t>GRA-sid06-051426</t>
  </si>
  <si>
    <t>GRA-sid07-051426</t>
  </si>
  <si>
    <t>GRA-sid08-051426</t>
  </si>
  <si>
    <t>GRA-sid09-051426</t>
  </si>
  <si>
    <t>HB-sid01-051426</t>
  </si>
  <si>
    <t>HB-sid02-051426</t>
  </si>
  <si>
    <t>URB-sid37-052826</t>
  </si>
  <si>
    <t>Dodge Island</t>
  </si>
  <si>
    <t>URB-sid04-052826</t>
  </si>
  <si>
    <t>split in 2</t>
  </si>
  <si>
    <t>two labelled 14? Determine which is which</t>
  </si>
  <si>
    <t>HB-sid04-051426</t>
  </si>
  <si>
    <t>HB-sid05-051426</t>
  </si>
  <si>
    <t>HB-sid07-051426</t>
  </si>
  <si>
    <t>HB-sid08-051426</t>
  </si>
  <si>
    <t>NA</t>
  </si>
  <si>
    <t>discolored</t>
  </si>
  <si>
    <t>tissue loss during collection</t>
  </si>
  <si>
    <t>JR-sid01-052026</t>
  </si>
  <si>
    <t>JR-sid02-052026</t>
  </si>
  <si>
    <t>JR-sid03-052026</t>
  </si>
  <si>
    <t>JR-sid04-052026</t>
  </si>
  <si>
    <t>JR-sid05-052026</t>
  </si>
  <si>
    <t>JR-sid06-052026</t>
  </si>
  <si>
    <t>JR-sid07-052026</t>
  </si>
  <si>
    <t>JR-sid08-052026</t>
  </si>
  <si>
    <t>JR-sid09-052026</t>
  </si>
  <si>
    <t>REV-sid01-052026</t>
  </si>
  <si>
    <t>REV-sid02-052026</t>
  </si>
  <si>
    <t>REV-sid03-052026</t>
  </si>
  <si>
    <t>REV-sid04-052026</t>
  </si>
  <si>
    <t>REV-sid06-052026</t>
  </si>
  <si>
    <t>REV-sid07-052026</t>
  </si>
  <si>
    <t>REV-sid08-052026</t>
  </si>
  <si>
    <t>REV-sid09-052026</t>
  </si>
  <si>
    <t>some tissue removed during collection</t>
  </si>
  <si>
    <t>URB-sid01-052826</t>
  </si>
  <si>
    <t>URB-sid02-052826</t>
  </si>
  <si>
    <t>URB-sid03-052826</t>
  </si>
  <si>
    <t>URB-sid05-052826</t>
  </si>
  <si>
    <t>URB-sid06-052826</t>
  </si>
  <si>
    <t>URB-sid07-052826</t>
  </si>
  <si>
    <t>URB-sid08-052826</t>
  </si>
  <si>
    <t>URB-sid09-052826</t>
  </si>
  <si>
    <t>URB-sid10-052826</t>
  </si>
  <si>
    <t>URB-sid11-052826</t>
  </si>
  <si>
    <t>URB-sid12-052826</t>
  </si>
  <si>
    <t>URB-sid13-052826</t>
  </si>
  <si>
    <t>URB-sid14-052826</t>
  </si>
  <si>
    <t>URB-sid15-052826</t>
  </si>
  <si>
    <t>URB-sid16-052826</t>
  </si>
  <si>
    <t>URB-sid17-052826</t>
  </si>
  <si>
    <t>URB-sid18-052826</t>
  </si>
  <si>
    <t>URB-sid19-052826</t>
  </si>
  <si>
    <t>URB-sid20-052826</t>
  </si>
  <si>
    <t>URB-sid21-052826</t>
  </si>
  <si>
    <t>URB-sid22-052826</t>
  </si>
  <si>
    <t>URB-sid23-052826</t>
  </si>
  <si>
    <t>URB-sid24-052826</t>
  </si>
  <si>
    <t>URB-sid25-052826</t>
  </si>
  <si>
    <t>URB-sid26-052826</t>
  </si>
  <si>
    <t>URB-sid27-052826</t>
  </si>
  <si>
    <t>URB-sid28-052826</t>
  </si>
  <si>
    <t>URB-sid29-052826</t>
  </si>
  <si>
    <t>URB-sid30-052826</t>
  </si>
  <si>
    <t>URB-sid31-052826</t>
  </si>
  <si>
    <t>URB-sid32-052826</t>
  </si>
  <si>
    <t>URB-sid33-052826</t>
  </si>
  <si>
    <t>URB-sid34-052826</t>
  </si>
  <si>
    <t>URB-sid35-052826</t>
  </si>
  <si>
    <t>URB-sid36-052826</t>
  </si>
  <si>
    <t>URB-sid38-052826</t>
  </si>
  <si>
    <t>URB-sid39-052826</t>
  </si>
  <si>
    <t>URB-sid40-052826</t>
  </si>
  <si>
    <t>Site</t>
  </si>
  <si>
    <t>Number of sids:</t>
  </si>
  <si>
    <t>sample 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</si>
</sst>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llen Dean" id="{72F516E1-3574-4ED7-82A7-BCDC32AF8355}" userId="S::kdean033@fiu.edu::c6a52fc6-ac53-4bf2-8736-03c1ef86304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74" dT="2026-05-21T18:57:42.58" personId="{72F516E1-3574-4ED7-82A7-BCDC32AF8355}" id="{49B2CC31-FE8C-414A-8C01-C9A8D00C6DD3}">
    <text>Missing 2 on sheet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3"/>
  <sheetViews>
    <sheetView tabSelected="1" zoomScale="104" zoomScaleNormal="100"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27.44140625" style="3" customWidth="1"/>
    <col min="2" max="2" width="6.88671875" bestFit="1" customWidth="1"/>
    <col min="3" max="3" width="10.5546875" bestFit="1" customWidth="1"/>
    <col min="4" max="4" width="12.44140625" style="2" bestFit="1" customWidth="1"/>
    <col min="5" max="5" width="12.44140625" bestFit="1" customWidth="1"/>
    <col min="6" max="6" width="8.33203125" bestFit="1" customWidth="1"/>
    <col min="7" max="7" width="7.33203125" bestFit="1" customWidth="1"/>
    <col min="8" max="8" width="8.33203125" bestFit="1" customWidth="1"/>
    <col min="9" max="9" width="24.88671875" bestFit="1" customWidth="1"/>
    <col min="10" max="10" width="17.44140625" bestFit="1" customWidth="1"/>
    <col min="11" max="13" width="15.33203125" customWidth="1"/>
    <col min="14" max="14" width="16.21875" customWidth="1"/>
    <col min="15" max="15" width="15.77734375" bestFit="1" customWidth="1"/>
  </cols>
  <sheetData>
    <row r="1" spans="1:16" x14ac:dyDescent="0.3">
      <c r="A1" s="3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469</v>
      </c>
      <c r="K1" t="s">
        <v>444</v>
      </c>
      <c r="L1" t="s">
        <v>445</v>
      </c>
      <c r="M1" t="s">
        <v>446</v>
      </c>
      <c r="N1" t="s">
        <v>447</v>
      </c>
      <c r="O1" t="s">
        <v>568</v>
      </c>
      <c r="P1" t="s">
        <v>9</v>
      </c>
    </row>
    <row r="2" spans="1:16" x14ac:dyDescent="0.3">
      <c r="A2" s="3" t="s">
        <v>10</v>
      </c>
      <c r="B2" t="s">
        <v>11</v>
      </c>
      <c r="C2" s="1">
        <v>46052</v>
      </c>
      <c r="D2" s="2" t="s">
        <v>12</v>
      </c>
      <c r="E2" t="s">
        <v>13</v>
      </c>
      <c r="F2">
        <v>11.9</v>
      </c>
      <c r="G2">
        <v>23</v>
      </c>
      <c r="H2" t="s">
        <v>14</v>
      </c>
      <c r="I2" t="s">
        <v>15</v>
      </c>
      <c r="K2" t="s">
        <v>465</v>
      </c>
      <c r="L2" s="1">
        <v>46168</v>
      </c>
      <c r="P2" t="s">
        <v>16</v>
      </c>
    </row>
    <row r="3" spans="1:16" x14ac:dyDescent="0.3">
      <c r="A3" s="3" t="s">
        <v>17</v>
      </c>
      <c r="B3" t="s">
        <v>11</v>
      </c>
      <c r="C3" s="1">
        <v>46052</v>
      </c>
      <c r="D3" s="2" t="s">
        <v>12</v>
      </c>
      <c r="E3" t="s">
        <v>13</v>
      </c>
      <c r="F3">
        <v>11.9</v>
      </c>
      <c r="G3">
        <v>23</v>
      </c>
      <c r="H3" t="s">
        <v>14</v>
      </c>
      <c r="I3" t="s">
        <v>18</v>
      </c>
      <c r="K3" t="s">
        <v>466</v>
      </c>
      <c r="L3" s="1">
        <v>46168</v>
      </c>
      <c r="P3" t="s">
        <v>16</v>
      </c>
    </row>
    <row r="4" spans="1:16" x14ac:dyDescent="0.3">
      <c r="A4" s="3" t="s">
        <v>19</v>
      </c>
      <c r="B4" t="s">
        <v>443</v>
      </c>
      <c r="C4" s="1">
        <v>46052</v>
      </c>
      <c r="D4" s="2" t="s">
        <v>12</v>
      </c>
      <c r="E4" t="s">
        <v>13</v>
      </c>
      <c r="F4">
        <v>11.9</v>
      </c>
      <c r="G4">
        <v>23</v>
      </c>
      <c r="H4" t="s">
        <v>14</v>
      </c>
      <c r="I4" t="s">
        <v>20</v>
      </c>
      <c r="K4" t="s">
        <v>466</v>
      </c>
      <c r="L4" s="1">
        <v>46168</v>
      </c>
      <c r="P4" t="s">
        <v>16</v>
      </c>
    </row>
    <row r="5" spans="1:16" x14ac:dyDescent="0.3">
      <c r="A5" s="3" t="s">
        <v>21</v>
      </c>
      <c r="B5" t="s">
        <v>11</v>
      </c>
      <c r="C5" s="1">
        <v>46052</v>
      </c>
      <c r="D5" s="2" t="s">
        <v>12</v>
      </c>
      <c r="E5" t="s">
        <v>13</v>
      </c>
      <c r="F5">
        <v>11.9</v>
      </c>
      <c r="G5">
        <v>23</v>
      </c>
      <c r="H5" t="s">
        <v>14</v>
      </c>
      <c r="I5" t="s">
        <v>22</v>
      </c>
      <c r="K5" t="s">
        <v>466</v>
      </c>
      <c r="L5" s="1">
        <v>46168</v>
      </c>
      <c r="P5" t="s">
        <v>16</v>
      </c>
    </row>
    <row r="6" spans="1:16" x14ac:dyDescent="0.3">
      <c r="A6" s="3" t="s">
        <v>23</v>
      </c>
      <c r="B6" t="s">
        <v>11</v>
      </c>
      <c r="C6" s="1">
        <v>46052</v>
      </c>
      <c r="D6" s="2" t="s">
        <v>12</v>
      </c>
      <c r="E6" t="s">
        <v>13</v>
      </c>
      <c r="F6">
        <v>11.9</v>
      </c>
      <c r="G6">
        <v>23</v>
      </c>
      <c r="H6" t="s">
        <v>14</v>
      </c>
      <c r="I6" t="s">
        <v>24</v>
      </c>
      <c r="K6" t="s">
        <v>466</v>
      </c>
      <c r="L6" s="1">
        <v>46168</v>
      </c>
      <c r="P6" t="s">
        <v>16</v>
      </c>
    </row>
    <row r="7" spans="1:16" x14ac:dyDescent="0.3">
      <c r="A7" s="3" t="s">
        <v>25</v>
      </c>
      <c r="B7" t="s">
        <v>443</v>
      </c>
      <c r="C7" s="1">
        <v>46057</v>
      </c>
      <c r="D7" s="2" t="s">
        <v>12</v>
      </c>
      <c r="E7" t="s">
        <v>26</v>
      </c>
      <c r="F7">
        <v>18.399999999999999</v>
      </c>
      <c r="G7">
        <v>23</v>
      </c>
      <c r="H7" t="s">
        <v>14</v>
      </c>
      <c r="I7" t="s">
        <v>27</v>
      </c>
      <c r="K7" t="s">
        <v>466</v>
      </c>
      <c r="L7" s="1">
        <v>46168</v>
      </c>
      <c r="P7" t="s">
        <v>16</v>
      </c>
    </row>
    <row r="8" spans="1:16" x14ac:dyDescent="0.3">
      <c r="A8" s="3" t="s">
        <v>28</v>
      </c>
      <c r="B8" t="s">
        <v>11</v>
      </c>
      <c r="C8" s="1">
        <v>46057</v>
      </c>
      <c r="D8" s="2" t="s">
        <v>12</v>
      </c>
      <c r="E8" t="s">
        <v>26</v>
      </c>
      <c r="F8">
        <v>18.399999999999999</v>
      </c>
      <c r="G8">
        <v>23</v>
      </c>
      <c r="H8" t="s">
        <v>14</v>
      </c>
      <c r="I8" t="s">
        <v>29</v>
      </c>
      <c r="K8" t="s">
        <v>466</v>
      </c>
      <c r="L8" s="1">
        <v>46168</v>
      </c>
      <c r="P8" t="s">
        <v>16</v>
      </c>
    </row>
    <row r="9" spans="1:16" x14ac:dyDescent="0.3">
      <c r="A9" s="3" t="s">
        <v>30</v>
      </c>
      <c r="B9" t="s">
        <v>443</v>
      </c>
      <c r="C9" s="1">
        <v>46057</v>
      </c>
      <c r="D9" s="2" t="s">
        <v>12</v>
      </c>
      <c r="E9" t="s">
        <v>26</v>
      </c>
      <c r="F9">
        <v>18.399999999999999</v>
      </c>
      <c r="G9">
        <v>23</v>
      </c>
      <c r="H9" t="s">
        <v>14</v>
      </c>
      <c r="I9" t="s">
        <v>31</v>
      </c>
      <c r="K9" t="s">
        <v>466</v>
      </c>
      <c r="L9" s="1">
        <v>46168</v>
      </c>
      <c r="P9" t="s">
        <v>16</v>
      </c>
    </row>
    <row r="10" spans="1:16" x14ac:dyDescent="0.3">
      <c r="A10" s="3" t="s">
        <v>32</v>
      </c>
      <c r="B10" t="s">
        <v>443</v>
      </c>
      <c r="C10" s="1">
        <v>46057</v>
      </c>
      <c r="D10" s="2" t="s">
        <v>12</v>
      </c>
      <c r="E10" t="s">
        <v>26</v>
      </c>
      <c r="F10">
        <v>18.399999999999999</v>
      </c>
      <c r="G10">
        <v>23</v>
      </c>
      <c r="H10" t="s">
        <v>14</v>
      </c>
      <c r="I10" t="s">
        <v>33</v>
      </c>
      <c r="K10" t="s">
        <v>466</v>
      </c>
      <c r="L10" s="1">
        <v>46168</v>
      </c>
      <c r="P10" t="s">
        <v>16</v>
      </c>
    </row>
    <row r="11" spans="1:16" x14ac:dyDescent="0.3">
      <c r="A11" s="3" t="s">
        <v>34</v>
      </c>
      <c r="B11" t="s">
        <v>443</v>
      </c>
      <c r="C11" s="1">
        <v>46057</v>
      </c>
      <c r="D11" s="2" t="s">
        <v>12</v>
      </c>
      <c r="E11" t="s">
        <v>26</v>
      </c>
      <c r="F11">
        <v>18.399999999999999</v>
      </c>
      <c r="G11">
        <v>23</v>
      </c>
      <c r="H11" t="s">
        <v>14</v>
      </c>
      <c r="I11" t="s">
        <v>35</v>
      </c>
      <c r="K11" t="s">
        <v>467</v>
      </c>
      <c r="L11" s="1">
        <v>46168</v>
      </c>
      <c r="P11" t="s">
        <v>16</v>
      </c>
    </row>
    <row r="12" spans="1:16" x14ac:dyDescent="0.3">
      <c r="A12" s="3" t="s">
        <v>36</v>
      </c>
      <c r="B12" t="s">
        <v>443</v>
      </c>
      <c r="C12" s="1">
        <v>46057</v>
      </c>
      <c r="D12" s="2" t="s">
        <v>12</v>
      </c>
      <c r="E12" t="s">
        <v>26</v>
      </c>
      <c r="F12">
        <v>18.399999999999999</v>
      </c>
      <c r="G12">
        <v>23</v>
      </c>
      <c r="H12" t="s">
        <v>37</v>
      </c>
      <c r="I12" t="s">
        <v>38</v>
      </c>
      <c r="K12" t="s">
        <v>466</v>
      </c>
      <c r="L12" s="1">
        <v>46168</v>
      </c>
      <c r="P12" t="s">
        <v>39</v>
      </c>
    </row>
    <row r="13" spans="1:16" x14ac:dyDescent="0.3">
      <c r="A13" s="3" t="s">
        <v>40</v>
      </c>
      <c r="B13" t="s">
        <v>443</v>
      </c>
      <c r="C13" s="1">
        <v>46057</v>
      </c>
      <c r="D13" s="2" t="s">
        <v>12</v>
      </c>
      <c r="E13" t="s">
        <v>26</v>
      </c>
      <c r="F13">
        <v>18.399999999999999</v>
      </c>
      <c r="G13">
        <v>23</v>
      </c>
      <c r="H13" t="s">
        <v>37</v>
      </c>
      <c r="I13" t="s">
        <v>41</v>
      </c>
      <c r="K13" t="s">
        <v>466</v>
      </c>
      <c r="L13" s="1">
        <v>46168</v>
      </c>
      <c r="P13" t="s">
        <v>39</v>
      </c>
    </row>
    <row r="14" spans="1:16" x14ac:dyDescent="0.3">
      <c r="A14" s="3" t="s">
        <v>42</v>
      </c>
      <c r="B14" t="s">
        <v>11</v>
      </c>
      <c r="C14" s="1">
        <v>46057</v>
      </c>
      <c r="D14" s="2" t="s">
        <v>12</v>
      </c>
      <c r="E14" t="s">
        <v>26</v>
      </c>
      <c r="F14">
        <v>18.399999999999999</v>
      </c>
      <c r="G14">
        <v>23</v>
      </c>
      <c r="H14" t="s">
        <v>37</v>
      </c>
      <c r="I14" t="s">
        <v>43</v>
      </c>
      <c r="K14" t="s">
        <v>466</v>
      </c>
      <c r="L14" s="1">
        <v>46168</v>
      </c>
      <c r="P14" t="s">
        <v>16</v>
      </c>
    </row>
    <row r="15" spans="1:16" x14ac:dyDescent="0.3">
      <c r="A15" s="3" t="s">
        <v>44</v>
      </c>
      <c r="B15" t="s">
        <v>11</v>
      </c>
      <c r="C15" s="1">
        <v>46057</v>
      </c>
      <c r="D15" s="2" t="s">
        <v>12</v>
      </c>
      <c r="E15" t="s">
        <v>26</v>
      </c>
      <c r="F15">
        <v>18.399999999999999</v>
      </c>
      <c r="G15">
        <v>23</v>
      </c>
      <c r="H15" t="s">
        <v>37</v>
      </c>
      <c r="I15" t="s">
        <v>45</v>
      </c>
      <c r="K15" t="s">
        <v>466</v>
      </c>
      <c r="L15" s="1">
        <v>46168</v>
      </c>
      <c r="P15" t="s">
        <v>16</v>
      </c>
    </row>
    <row r="16" spans="1:16" x14ac:dyDescent="0.3">
      <c r="A16" s="3" t="s">
        <v>46</v>
      </c>
      <c r="B16" t="s">
        <v>443</v>
      </c>
      <c r="C16" s="1">
        <v>46057</v>
      </c>
      <c r="D16" s="2" t="s">
        <v>12</v>
      </c>
      <c r="E16" t="s">
        <v>26</v>
      </c>
      <c r="F16">
        <v>18.399999999999999</v>
      </c>
      <c r="G16">
        <v>23</v>
      </c>
      <c r="H16" t="s">
        <v>37</v>
      </c>
      <c r="I16" t="s">
        <v>47</v>
      </c>
      <c r="K16" t="s">
        <v>466</v>
      </c>
      <c r="L16" s="1">
        <v>46168</v>
      </c>
      <c r="P16" t="s">
        <v>39</v>
      </c>
    </row>
    <row r="17" spans="1:16" x14ac:dyDescent="0.3">
      <c r="A17" s="3" t="s">
        <v>48</v>
      </c>
      <c r="B17" t="s">
        <v>443</v>
      </c>
      <c r="C17" s="1">
        <v>46057</v>
      </c>
      <c r="D17" s="2" t="s">
        <v>12</v>
      </c>
      <c r="E17" t="s">
        <v>26</v>
      </c>
      <c r="F17">
        <v>18.399999999999999</v>
      </c>
      <c r="G17">
        <v>23</v>
      </c>
      <c r="H17" t="s">
        <v>37</v>
      </c>
      <c r="I17" t="s">
        <v>49</v>
      </c>
      <c r="K17" t="s">
        <v>466</v>
      </c>
      <c r="L17" s="1">
        <v>46168</v>
      </c>
      <c r="P17" t="s">
        <v>39</v>
      </c>
    </row>
    <row r="18" spans="1:16" x14ac:dyDescent="0.3">
      <c r="A18" s="3" t="s">
        <v>50</v>
      </c>
      <c r="B18" t="s">
        <v>11</v>
      </c>
      <c r="C18" s="1">
        <v>46103</v>
      </c>
      <c r="D18" s="2" t="s">
        <v>12</v>
      </c>
      <c r="E18" t="s">
        <v>51</v>
      </c>
      <c r="F18">
        <v>7.3</v>
      </c>
      <c r="G18">
        <v>24</v>
      </c>
      <c r="H18" t="s">
        <v>52</v>
      </c>
      <c r="I18" t="s">
        <v>53</v>
      </c>
      <c r="K18" t="s">
        <v>466</v>
      </c>
      <c r="L18" s="1">
        <v>46168</v>
      </c>
    </row>
    <row r="19" spans="1:16" x14ac:dyDescent="0.3">
      <c r="A19" s="3" t="s">
        <v>54</v>
      </c>
      <c r="B19" t="s">
        <v>11</v>
      </c>
      <c r="C19" s="1">
        <v>46103</v>
      </c>
      <c r="D19" s="2" t="s">
        <v>12</v>
      </c>
      <c r="E19" t="s">
        <v>51</v>
      </c>
      <c r="F19">
        <v>7.1</v>
      </c>
      <c r="G19">
        <v>24</v>
      </c>
      <c r="H19" t="s">
        <v>52</v>
      </c>
      <c r="I19" t="s">
        <v>55</v>
      </c>
      <c r="K19" t="s">
        <v>466</v>
      </c>
      <c r="L19" s="1">
        <v>46168</v>
      </c>
    </row>
    <row r="20" spans="1:16" x14ac:dyDescent="0.3">
      <c r="A20" s="3" t="s">
        <v>56</v>
      </c>
      <c r="B20" t="s">
        <v>11</v>
      </c>
      <c r="C20" s="1">
        <v>46103</v>
      </c>
      <c r="D20" s="2" t="s">
        <v>12</v>
      </c>
      <c r="E20" t="s">
        <v>51</v>
      </c>
      <c r="F20">
        <v>7.1</v>
      </c>
      <c r="G20">
        <v>24</v>
      </c>
      <c r="H20" t="s">
        <v>52</v>
      </c>
      <c r="I20" t="s">
        <v>57</v>
      </c>
      <c r="K20" t="s">
        <v>466</v>
      </c>
      <c r="L20" s="1">
        <v>46168</v>
      </c>
    </row>
    <row r="21" spans="1:16" x14ac:dyDescent="0.3">
      <c r="A21" s="3" t="s">
        <v>58</v>
      </c>
      <c r="B21" t="s">
        <v>11</v>
      </c>
      <c r="C21" s="1">
        <v>46103</v>
      </c>
      <c r="D21" s="2" t="s">
        <v>12</v>
      </c>
      <c r="E21" t="s">
        <v>51</v>
      </c>
      <c r="F21">
        <v>7.6</v>
      </c>
      <c r="G21">
        <v>24</v>
      </c>
      <c r="H21" t="s">
        <v>52</v>
      </c>
      <c r="I21" t="s">
        <v>59</v>
      </c>
      <c r="K21" t="s">
        <v>467</v>
      </c>
      <c r="L21" s="1">
        <v>46168</v>
      </c>
    </row>
    <row r="22" spans="1:16" x14ac:dyDescent="0.3">
      <c r="A22" s="3" t="s">
        <v>60</v>
      </c>
      <c r="B22" t="s">
        <v>11</v>
      </c>
      <c r="C22" s="1">
        <v>46103</v>
      </c>
      <c r="D22" s="2" t="s">
        <v>12</v>
      </c>
      <c r="E22" t="s">
        <v>51</v>
      </c>
      <c r="F22">
        <v>7.6</v>
      </c>
      <c r="G22">
        <v>24</v>
      </c>
      <c r="H22" t="s">
        <v>52</v>
      </c>
      <c r="I22" t="s">
        <v>61</v>
      </c>
      <c r="K22" t="s">
        <v>466</v>
      </c>
      <c r="L22" s="1">
        <v>46168</v>
      </c>
    </row>
    <row r="23" spans="1:16" x14ac:dyDescent="0.3">
      <c r="A23" s="3" t="s">
        <v>62</v>
      </c>
      <c r="B23" t="s">
        <v>11</v>
      </c>
      <c r="C23" s="1">
        <v>46103</v>
      </c>
      <c r="D23" s="2" t="s">
        <v>12</v>
      </c>
      <c r="E23" t="s">
        <v>51</v>
      </c>
      <c r="F23">
        <v>8</v>
      </c>
      <c r="G23">
        <v>24</v>
      </c>
      <c r="H23" t="s">
        <v>52</v>
      </c>
      <c r="I23" t="s">
        <v>63</v>
      </c>
      <c r="K23" t="s">
        <v>466</v>
      </c>
      <c r="L23" s="1">
        <v>46168</v>
      </c>
    </row>
    <row r="24" spans="1:16" x14ac:dyDescent="0.3">
      <c r="A24" s="3" t="s">
        <v>64</v>
      </c>
      <c r="B24" t="s">
        <v>11</v>
      </c>
      <c r="C24" s="1">
        <v>46103</v>
      </c>
      <c r="D24" s="2" t="s">
        <v>12</v>
      </c>
      <c r="E24" t="s">
        <v>51</v>
      </c>
      <c r="F24">
        <v>8</v>
      </c>
      <c r="G24">
        <v>24</v>
      </c>
      <c r="H24" t="s">
        <v>52</v>
      </c>
      <c r="I24" t="s">
        <v>65</v>
      </c>
      <c r="K24" t="s">
        <v>466</v>
      </c>
      <c r="L24" s="1">
        <v>46168</v>
      </c>
    </row>
    <row r="25" spans="1:16" x14ac:dyDescent="0.3">
      <c r="A25" s="3" t="s">
        <v>66</v>
      </c>
      <c r="B25" t="s">
        <v>11</v>
      </c>
      <c r="C25" s="1">
        <v>46103</v>
      </c>
      <c r="D25" s="2" t="s">
        <v>12</v>
      </c>
      <c r="E25" t="s">
        <v>51</v>
      </c>
      <c r="F25">
        <v>8.9</v>
      </c>
      <c r="G25">
        <v>24</v>
      </c>
      <c r="H25" t="s">
        <v>52</v>
      </c>
      <c r="I25" t="s">
        <v>67</v>
      </c>
      <c r="K25" t="s">
        <v>466</v>
      </c>
      <c r="L25" s="1">
        <v>46168</v>
      </c>
    </row>
    <row r="26" spans="1:16" x14ac:dyDescent="0.3">
      <c r="A26" s="3" t="s">
        <v>68</v>
      </c>
      <c r="B26" t="s">
        <v>11</v>
      </c>
      <c r="C26" s="1">
        <v>46103</v>
      </c>
      <c r="D26" s="2" t="s">
        <v>12</v>
      </c>
      <c r="E26" t="s">
        <v>51</v>
      </c>
      <c r="F26">
        <v>9.6</v>
      </c>
      <c r="G26">
        <v>24</v>
      </c>
      <c r="H26" t="s">
        <v>52</v>
      </c>
      <c r="I26" t="s">
        <v>69</v>
      </c>
      <c r="K26" t="s">
        <v>466</v>
      </c>
      <c r="L26" s="1">
        <v>46168</v>
      </c>
    </row>
    <row r="27" spans="1:16" x14ac:dyDescent="0.3">
      <c r="A27" s="3" t="s">
        <v>70</v>
      </c>
      <c r="B27" t="s">
        <v>11</v>
      </c>
      <c r="C27" s="1">
        <v>46103</v>
      </c>
      <c r="D27" s="2">
        <v>0.62013888888888891</v>
      </c>
      <c r="E27" t="s">
        <v>51</v>
      </c>
      <c r="F27">
        <v>7.2</v>
      </c>
      <c r="G27">
        <v>24</v>
      </c>
      <c r="H27" t="s">
        <v>14</v>
      </c>
      <c r="I27" t="s">
        <v>71</v>
      </c>
      <c r="K27" t="s">
        <v>466</v>
      </c>
      <c r="L27" s="1">
        <v>46168</v>
      </c>
    </row>
    <row r="28" spans="1:16" x14ac:dyDescent="0.3">
      <c r="A28" s="3" t="s">
        <v>72</v>
      </c>
      <c r="B28" t="s">
        <v>11</v>
      </c>
      <c r="C28" s="1">
        <v>46103</v>
      </c>
      <c r="D28" s="2">
        <v>0.62083333333333335</v>
      </c>
      <c r="E28" t="s">
        <v>51</v>
      </c>
      <c r="F28">
        <v>7.2</v>
      </c>
      <c r="G28">
        <v>24</v>
      </c>
      <c r="H28" t="s">
        <v>14</v>
      </c>
      <c r="I28" t="s">
        <v>73</v>
      </c>
      <c r="K28" t="s">
        <v>466</v>
      </c>
      <c r="L28" s="1">
        <v>46168</v>
      </c>
    </row>
    <row r="29" spans="1:16" x14ac:dyDescent="0.3">
      <c r="A29" s="3" t="s">
        <v>74</v>
      </c>
      <c r="B29" t="s">
        <v>11</v>
      </c>
      <c r="C29" s="1">
        <v>46103</v>
      </c>
      <c r="D29" s="2">
        <v>0.62291666666666667</v>
      </c>
      <c r="E29" t="s">
        <v>51</v>
      </c>
      <c r="F29">
        <v>7.2</v>
      </c>
      <c r="G29">
        <v>24</v>
      </c>
      <c r="H29" t="s">
        <v>14</v>
      </c>
      <c r="I29" t="s">
        <v>75</v>
      </c>
      <c r="K29" t="s">
        <v>468</v>
      </c>
      <c r="L29" s="1">
        <v>46168</v>
      </c>
    </row>
    <row r="30" spans="1:16" x14ac:dyDescent="0.3">
      <c r="A30" s="3" t="s">
        <v>77</v>
      </c>
      <c r="B30" t="s">
        <v>11</v>
      </c>
      <c r="C30" s="1">
        <v>46103</v>
      </c>
      <c r="D30" s="2">
        <v>0.62430555555555556</v>
      </c>
      <c r="E30" t="s">
        <v>51</v>
      </c>
      <c r="F30">
        <v>7.2</v>
      </c>
      <c r="G30">
        <v>24</v>
      </c>
      <c r="H30" t="s">
        <v>14</v>
      </c>
      <c r="I30" t="s">
        <v>78</v>
      </c>
      <c r="K30" t="s">
        <v>466</v>
      </c>
      <c r="L30" s="1">
        <v>46168</v>
      </c>
    </row>
    <row r="31" spans="1:16" x14ac:dyDescent="0.3">
      <c r="A31" s="3" t="s">
        <v>79</v>
      </c>
      <c r="B31" t="s">
        <v>11</v>
      </c>
      <c r="C31" s="1">
        <v>46103</v>
      </c>
      <c r="D31" s="2">
        <v>0.62569444444444444</v>
      </c>
      <c r="E31" t="s">
        <v>51</v>
      </c>
      <c r="F31">
        <v>8.4</v>
      </c>
      <c r="G31">
        <v>24</v>
      </c>
      <c r="H31" t="s">
        <v>14</v>
      </c>
      <c r="I31" t="s">
        <v>80</v>
      </c>
      <c r="K31" t="s">
        <v>466</v>
      </c>
      <c r="L31" s="1">
        <v>46168</v>
      </c>
    </row>
    <row r="32" spans="1:16" x14ac:dyDescent="0.3">
      <c r="A32" s="3" t="s">
        <v>81</v>
      </c>
      <c r="B32" t="s">
        <v>11</v>
      </c>
      <c r="C32" s="1">
        <v>46103</v>
      </c>
      <c r="D32" s="2">
        <v>0.62777777777777777</v>
      </c>
      <c r="E32" t="s">
        <v>51</v>
      </c>
      <c r="F32">
        <v>8.4</v>
      </c>
      <c r="G32">
        <v>24</v>
      </c>
      <c r="H32" t="s">
        <v>14</v>
      </c>
      <c r="I32" t="s">
        <v>82</v>
      </c>
      <c r="K32" t="s">
        <v>468</v>
      </c>
      <c r="L32" s="1">
        <v>46168</v>
      </c>
    </row>
    <row r="33" spans="1:16" x14ac:dyDescent="0.3">
      <c r="A33" s="3" t="s">
        <v>83</v>
      </c>
      <c r="B33" t="s">
        <v>11</v>
      </c>
      <c r="C33" s="1">
        <v>46103</v>
      </c>
      <c r="D33" s="2">
        <v>0.63055555555555554</v>
      </c>
      <c r="E33" t="s">
        <v>51</v>
      </c>
      <c r="F33">
        <v>9.3000000000000007</v>
      </c>
      <c r="G33">
        <v>24</v>
      </c>
      <c r="H33" t="s">
        <v>14</v>
      </c>
      <c r="I33" t="s">
        <v>84</v>
      </c>
      <c r="K33" t="s">
        <v>466</v>
      </c>
      <c r="L33" s="1">
        <v>46168</v>
      </c>
    </row>
    <row r="34" spans="1:16" x14ac:dyDescent="0.3">
      <c r="A34" s="3" t="s">
        <v>85</v>
      </c>
      <c r="B34" t="s">
        <v>11</v>
      </c>
      <c r="C34" s="1">
        <v>46103</v>
      </c>
      <c r="D34" s="2">
        <v>0.63402777777777775</v>
      </c>
      <c r="E34" t="s">
        <v>51</v>
      </c>
      <c r="F34">
        <v>9.1</v>
      </c>
      <c r="G34">
        <v>24</v>
      </c>
      <c r="H34" t="s">
        <v>14</v>
      </c>
      <c r="I34" t="s">
        <v>86</v>
      </c>
      <c r="K34" t="s">
        <v>466</v>
      </c>
      <c r="L34" s="1">
        <v>46168</v>
      </c>
    </row>
    <row r="35" spans="1:16" x14ac:dyDescent="0.3">
      <c r="A35" s="3" t="s">
        <v>87</v>
      </c>
      <c r="B35" t="s">
        <v>11</v>
      </c>
      <c r="C35" s="1">
        <v>46103</v>
      </c>
      <c r="D35" s="2">
        <v>0.63541666666666663</v>
      </c>
      <c r="E35" t="s">
        <v>51</v>
      </c>
      <c r="F35">
        <v>9.4</v>
      </c>
      <c r="G35">
        <v>24</v>
      </c>
      <c r="H35" t="s">
        <v>14</v>
      </c>
      <c r="I35" t="s">
        <v>88</v>
      </c>
      <c r="K35" t="s">
        <v>466</v>
      </c>
      <c r="L35" s="1">
        <v>46168</v>
      </c>
    </row>
    <row r="36" spans="1:16" x14ac:dyDescent="0.3">
      <c r="A36" s="3" t="s">
        <v>89</v>
      </c>
      <c r="B36" t="s">
        <v>443</v>
      </c>
      <c r="C36" s="1">
        <v>46103</v>
      </c>
      <c r="D36" s="2">
        <v>0.530555555555556</v>
      </c>
      <c r="E36" t="s">
        <v>90</v>
      </c>
      <c r="F36">
        <v>7</v>
      </c>
      <c r="G36">
        <v>24</v>
      </c>
      <c r="H36" t="s">
        <v>52</v>
      </c>
      <c r="I36" t="s">
        <v>91</v>
      </c>
      <c r="K36" t="s">
        <v>466</v>
      </c>
      <c r="L36" s="1">
        <v>46168</v>
      </c>
    </row>
    <row r="37" spans="1:16" x14ac:dyDescent="0.3">
      <c r="A37" s="3" t="s">
        <v>92</v>
      </c>
      <c r="B37" t="s">
        <v>443</v>
      </c>
      <c r="C37" s="1">
        <v>46103</v>
      </c>
      <c r="D37" s="2">
        <v>0.530555555555556</v>
      </c>
      <c r="E37" t="s">
        <v>90</v>
      </c>
      <c r="F37">
        <v>7.1</v>
      </c>
      <c r="G37">
        <v>24</v>
      </c>
      <c r="H37" t="s">
        <v>52</v>
      </c>
      <c r="I37" t="s">
        <v>93</v>
      </c>
      <c r="K37" t="s">
        <v>466</v>
      </c>
      <c r="L37" s="1">
        <v>46168</v>
      </c>
    </row>
    <row r="38" spans="1:16" x14ac:dyDescent="0.3">
      <c r="A38" s="3" t="s">
        <v>94</v>
      </c>
      <c r="B38" t="s">
        <v>443</v>
      </c>
      <c r="C38" s="1">
        <v>46103</v>
      </c>
      <c r="D38" s="2">
        <v>0.530555555555556</v>
      </c>
      <c r="E38" t="s">
        <v>90</v>
      </c>
      <c r="F38">
        <v>7</v>
      </c>
      <c r="G38">
        <v>24</v>
      </c>
      <c r="H38" t="s">
        <v>52</v>
      </c>
      <c r="I38" t="s">
        <v>95</v>
      </c>
      <c r="K38" t="s">
        <v>466</v>
      </c>
      <c r="L38" s="1">
        <v>46168</v>
      </c>
    </row>
    <row r="39" spans="1:16" x14ac:dyDescent="0.3">
      <c r="A39" s="3" t="s">
        <v>96</v>
      </c>
      <c r="B39" t="s">
        <v>443</v>
      </c>
      <c r="C39" s="1">
        <v>46103</v>
      </c>
      <c r="D39" s="2">
        <v>0.530555555555556</v>
      </c>
      <c r="E39" t="s">
        <v>90</v>
      </c>
      <c r="F39">
        <v>7.2</v>
      </c>
      <c r="G39">
        <v>24</v>
      </c>
      <c r="H39" t="s">
        <v>52</v>
      </c>
      <c r="I39" t="s">
        <v>97</v>
      </c>
      <c r="K39" t="s">
        <v>466</v>
      </c>
      <c r="L39" s="1">
        <v>46168</v>
      </c>
    </row>
    <row r="40" spans="1:16" x14ac:dyDescent="0.3">
      <c r="A40" s="3" t="s">
        <v>98</v>
      </c>
      <c r="B40" t="s">
        <v>443</v>
      </c>
      <c r="C40" s="1">
        <v>46103</v>
      </c>
      <c r="D40" s="2">
        <v>0.530555555555556</v>
      </c>
      <c r="E40" t="s">
        <v>90</v>
      </c>
      <c r="F40">
        <v>6.9</v>
      </c>
      <c r="G40">
        <v>24</v>
      </c>
      <c r="H40" t="s">
        <v>52</v>
      </c>
      <c r="I40" t="s">
        <v>99</v>
      </c>
      <c r="K40" t="s">
        <v>466</v>
      </c>
      <c r="L40" s="1">
        <v>46168</v>
      </c>
    </row>
    <row r="41" spans="1:16" x14ac:dyDescent="0.3">
      <c r="A41" s="3" t="s">
        <v>100</v>
      </c>
      <c r="B41" t="s">
        <v>443</v>
      </c>
      <c r="C41" s="1">
        <v>46103</v>
      </c>
      <c r="D41" s="2">
        <v>0.530555555555556</v>
      </c>
      <c r="E41" t="s">
        <v>90</v>
      </c>
      <c r="F41">
        <v>7</v>
      </c>
      <c r="G41">
        <v>24</v>
      </c>
      <c r="H41" t="s">
        <v>52</v>
      </c>
      <c r="I41" t="s">
        <v>101</v>
      </c>
      <c r="K41" t="s">
        <v>466</v>
      </c>
      <c r="L41" s="1">
        <v>46168</v>
      </c>
    </row>
    <row r="42" spans="1:16" x14ac:dyDescent="0.3">
      <c r="A42" s="3" t="s">
        <v>102</v>
      </c>
      <c r="B42" t="s">
        <v>443</v>
      </c>
      <c r="C42" s="1">
        <v>46103</v>
      </c>
      <c r="D42" s="2">
        <v>0.530555555555556</v>
      </c>
      <c r="E42" t="s">
        <v>90</v>
      </c>
      <c r="F42">
        <v>7</v>
      </c>
      <c r="G42">
        <v>24</v>
      </c>
      <c r="H42" t="s">
        <v>52</v>
      </c>
      <c r="I42" t="s">
        <v>103</v>
      </c>
      <c r="K42" t="s">
        <v>468</v>
      </c>
      <c r="L42" s="1">
        <v>46168</v>
      </c>
    </row>
    <row r="43" spans="1:16" x14ac:dyDescent="0.3">
      <c r="A43" s="3" t="s">
        <v>104</v>
      </c>
      <c r="B43" t="s">
        <v>443</v>
      </c>
      <c r="C43" s="1">
        <v>46103</v>
      </c>
      <c r="D43" s="2">
        <v>0.530555555555556</v>
      </c>
      <c r="E43" t="s">
        <v>90</v>
      </c>
      <c r="F43">
        <v>6.9</v>
      </c>
      <c r="G43">
        <v>24</v>
      </c>
      <c r="H43" t="s">
        <v>52</v>
      </c>
      <c r="I43" t="s">
        <v>105</v>
      </c>
      <c r="P43" t="s">
        <v>106</v>
      </c>
    </row>
    <row r="44" spans="1:16" x14ac:dyDescent="0.3">
      <c r="A44" s="3" t="s">
        <v>107</v>
      </c>
      <c r="B44" t="s">
        <v>443</v>
      </c>
      <c r="C44" s="1">
        <v>46103</v>
      </c>
      <c r="D44" s="2">
        <v>0.530555555555556</v>
      </c>
      <c r="E44" t="s">
        <v>90</v>
      </c>
      <c r="F44">
        <v>6.8</v>
      </c>
      <c r="G44">
        <v>24</v>
      </c>
      <c r="H44" t="s">
        <v>14</v>
      </c>
      <c r="I44" t="s">
        <v>108</v>
      </c>
      <c r="J44" t="s">
        <v>76</v>
      </c>
      <c r="K44" t="s">
        <v>466</v>
      </c>
      <c r="L44" s="1">
        <v>46168</v>
      </c>
    </row>
    <row r="45" spans="1:16" x14ac:dyDescent="0.3">
      <c r="A45" s="3" t="s">
        <v>109</v>
      </c>
      <c r="B45" t="s">
        <v>443</v>
      </c>
      <c r="C45" s="1">
        <v>46103</v>
      </c>
      <c r="D45" s="2">
        <v>0.52986111111111101</v>
      </c>
      <c r="E45" t="s">
        <v>90</v>
      </c>
      <c r="F45">
        <v>6.8</v>
      </c>
      <c r="G45">
        <v>24</v>
      </c>
      <c r="H45" t="s">
        <v>14</v>
      </c>
      <c r="I45" t="s">
        <v>110</v>
      </c>
      <c r="K45" t="s">
        <v>466</v>
      </c>
      <c r="L45" s="1">
        <v>46168</v>
      </c>
    </row>
    <row r="46" spans="1:16" x14ac:dyDescent="0.3">
      <c r="A46" s="3" t="s">
        <v>111</v>
      </c>
      <c r="B46" t="s">
        <v>443</v>
      </c>
      <c r="C46" s="1">
        <v>46103</v>
      </c>
      <c r="D46" s="2">
        <v>0.52916666666666667</v>
      </c>
      <c r="E46" t="s">
        <v>90</v>
      </c>
      <c r="F46">
        <v>6.8</v>
      </c>
      <c r="G46">
        <v>24</v>
      </c>
      <c r="H46" t="s">
        <v>14</v>
      </c>
      <c r="I46" t="s">
        <v>112</v>
      </c>
      <c r="K46" t="s">
        <v>466</v>
      </c>
      <c r="L46" s="1">
        <v>46168</v>
      </c>
    </row>
    <row r="47" spans="1:16" x14ac:dyDescent="0.3">
      <c r="A47" s="3" t="s">
        <v>113</v>
      </c>
      <c r="B47" t="s">
        <v>443</v>
      </c>
      <c r="C47" s="1">
        <v>46103</v>
      </c>
      <c r="D47" s="2">
        <v>0.52847222222222223</v>
      </c>
      <c r="E47" t="s">
        <v>90</v>
      </c>
      <c r="F47">
        <v>6.8</v>
      </c>
      <c r="G47">
        <v>24</v>
      </c>
      <c r="H47" t="s">
        <v>14</v>
      </c>
      <c r="I47" t="s">
        <v>114</v>
      </c>
      <c r="K47" t="s">
        <v>466</v>
      </c>
      <c r="L47" s="1">
        <v>46168</v>
      </c>
    </row>
    <row r="48" spans="1:16" x14ac:dyDescent="0.3">
      <c r="A48" s="3" t="s">
        <v>115</v>
      </c>
      <c r="B48" t="s">
        <v>11</v>
      </c>
      <c r="C48" s="1">
        <v>46104</v>
      </c>
      <c r="D48" s="2">
        <v>0.60902777777777772</v>
      </c>
      <c r="E48" t="s">
        <v>116</v>
      </c>
      <c r="F48">
        <v>8.6999999999999993</v>
      </c>
      <c r="G48">
        <v>25</v>
      </c>
      <c r="H48" t="s">
        <v>52</v>
      </c>
      <c r="I48" t="s">
        <v>117</v>
      </c>
      <c r="K48" t="s">
        <v>466</v>
      </c>
      <c r="L48" s="1">
        <v>46168</v>
      </c>
    </row>
    <row r="49" spans="1:16" x14ac:dyDescent="0.3">
      <c r="A49" s="3" t="s">
        <v>118</v>
      </c>
      <c r="B49" t="s">
        <v>11</v>
      </c>
      <c r="C49" s="1">
        <v>46104</v>
      </c>
      <c r="D49" s="2">
        <v>0.60972222222222228</v>
      </c>
      <c r="E49" t="s">
        <v>116</v>
      </c>
      <c r="F49">
        <v>9.1</v>
      </c>
      <c r="G49">
        <v>25</v>
      </c>
      <c r="H49" t="s">
        <v>52</v>
      </c>
      <c r="I49" t="s">
        <v>119</v>
      </c>
      <c r="K49" t="s">
        <v>466</v>
      </c>
      <c r="L49" s="1">
        <v>46168</v>
      </c>
    </row>
    <row r="50" spans="1:16" x14ac:dyDescent="0.3">
      <c r="A50" s="3" t="s">
        <v>120</v>
      </c>
      <c r="B50" t="s">
        <v>11</v>
      </c>
      <c r="C50" s="1">
        <v>46104</v>
      </c>
      <c r="D50" s="2">
        <v>0.61111111111111116</v>
      </c>
      <c r="E50" t="s">
        <v>116</v>
      </c>
      <c r="F50">
        <v>6.9</v>
      </c>
      <c r="G50">
        <v>25</v>
      </c>
      <c r="H50" t="s">
        <v>52</v>
      </c>
      <c r="I50" t="s">
        <v>121</v>
      </c>
      <c r="K50" t="s">
        <v>466</v>
      </c>
      <c r="L50" s="1">
        <v>46168</v>
      </c>
      <c r="P50" t="s">
        <v>470</v>
      </c>
    </row>
    <row r="51" spans="1:16" x14ac:dyDescent="0.3">
      <c r="A51" s="3" t="s">
        <v>122</v>
      </c>
      <c r="B51" t="s">
        <v>11</v>
      </c>
      <c r="C51" s="1">
        <v>46104</v>
      </c>
      <c r="D51" s="2">
        <v>0.6118055555555556</v>
      </c>
      <c r="E51" t="s">
        <v>116</v>
      </c>
      <c r="F51">
        <v>8.9</v>
      </c>
      <c r="G51">
        <v>25</v>
      </c>
      <c r="H51" t="s">
        <v>52</v>
      </c>
      <c r="I51" t="s">
        <v>123</v>
      </c>
      <c r="K51" t="s">
        <v>466</v>
      </c>
      <c r="L51" s="1">
        <v>46168</v>
      </c>
    </row>
    <row r="52" spans="1:16" x14ac:dyDescent="0.3">
      <c r="A52" s="3" t="s">
        <v>125</v>
      </c>
      <c r="B52" t="s">
        <v>11</v>
      </c>
      <c r="C52" s="1">
        <v>46104</v>
      </c>
      <c r="D52" s="2">
        <v>0.61458333333333337</v>
      </c>
      <c r="E52" t="s">
        <v>116</v>
      </c>
      <c r="F52">
        <v>8.6999999999999993</v>
      </c>
      <c r="G52">
        <v>25</v>
      </c>
      <c r="H52" t="s">
        <v>52</v>
      </c>
      <c r="I52" t="s">
        <v>126</v>
      </c>
      <c r="K52" t="s">
        <v>466</v>
      </c>
      <c r="L52" s="1">
        <v>46168</v>
      </c>
      <c r="P52" t="s">
        <v>470</v>
      </c>
    </row>
    <row r="53" spans="1:16" x14ac:dyDescent="0.3">
      <c r="A53" s="3" t="s">
        <v>127</v>
      </c>
      <c r="B53" t="s">
        <v>11</v>
      </c>
      <c r="C53" s="1">
        <v>46104</v>
      </c>
      <c r="D53" s="2">
        <v>0.61527777777777781</v>
      </c>
      <c r="E53" t="s">
        <v>116</v>
      </c>
      <c r="F53">
        <v>9.1999999999999993</v>
      </c>
      <c r="G53">
        <v>25</v>
      </c>
      <c r="H53" t="s">
        <v>52</v>
      </c>
      <c r="I53" t="s">
        <v>128</v>
      </c>
      <c r="K53" t="s">
        <v>466</v>
      </c>
      <c r="L53" s="1">
        <v>46168</v>
      </c>
    </row>
    <row r="54" spans="1:16" x14ac:dyDescent="0.3">
      <c r="A54" s="3" t="s">
        <v>129</v>
      </c>
      <c r="B54" t="s">
        <v>11</v>
      </c>
      <c r="C54" s="1">
        <v>46104</v>
      </c>
      <c r="D54" s="2">
        <v>0.6166666666666667</v>
      </c>
      <c r="E54" t="s">
        <v>116</v>
      </c>
      <c r="F54">
        <v>9</v>
      </c>
      <c r="G54">
        <v>25</v>
      </c>
      <c r="H54" t="s">
        <v>52</v>
      </c>
      <c r="I54" t="s">
        <v>130</v>
      </c>
      <c r="K54" t="s">
        <v>466</v>
      </c>
      <c r="L54" s="1">
        <v>46168</v>
      </c>
    </row>
    <row r="55" spans="1:16" x14ac:dyDescent="0.3">
      <c r="A55" s="3" t="s">
        <v>131</v>
      </c>
      <c r="B55" t="s">
        <v>11</v>
      </c>
      <c r="C55" s="1">
        <v>46104</v>
      </c>
      <c r="D55" s="2">
        <v>0.61805555555555558</v>
      </c>
      <c r="E55" t="s">
        <v>116</v>
      </c>
      <c r="F55">
        <v>7.6</v>
      </c>
      <c r="G55">
        <v>25</v>
      </c>
      <c r="H55" t="s">
        <v>52</v>
      </c>
      <c r="I55" t="s">
        <v>132</v>
      </c>
      <c r="K55" t="s">
        <v>466</v>
      </c>
      <c r="L55" s="1">
        <v>46168</v>
      </c>
    </row>
    <row r="56" spans="1:16" x14ac:dyDescent="0.3">
      <c r="A56" s="3" t="s">
        <v>133</v>
      </c>
      <c r="B56" t="s">
        <v>11</v>
      </c>
      <c r="C56" s="1">
        <v>46104</v>
      </c>
      <c r="D56" s="2">
        <v>0.6166666666666667</v>
      </c>
      <c r="E56" t="s">
        <v>116</v>
      </c>
      <c r="F56">
        <v>9.8000000000000007</v>
      </c>
      <c r="G56">
        <v>25</v>
      </c>
      <c r="H56" t="s">
        <v>14</v>
      </c>
      <c r="I56" t="s">
        <v>134</v>
      </c>
      <c r="K56" t="s">
        <v>466</v>
      </c>
      <c r="L56" s="1">
        <v>46168</v>
      </c>
    </row>
    <row r="57" spans="1:16" x14ac:dyDescent="0.3">
      <c r="A57" s="3" t="s">
        <v>135</v>
      </c>
      <c r="B57" t="s">
        <v>11</v>
      </c>
      <c r="C57" s="1">
        <v>46104</v>
      </c>
      <c r="D57" s="2">
        <v>0.61527777777777781</v>
      </c>
      <c r="E57" t="s">
        <v>116</v>
      </c>
      <c r="F57">
        <v>9.8000000000000007</v>
      </c>
      <c r="G57">
        <v>25</v>
      </c>
      <c r="H57" t="s">
        <v>14</v>
      </c>
      <c r="I57" t="s">
        <v>136</v>
      </c>
      <c r="K57" t="s">
        <v>466</v>
      </c>
      <c r="L57" s="1">
        <v>46168</v>
      </c>
    </row>
    <row r="58" spans="1:16" x14ac:dyDescent="0.3">
      <c r="A58" s="3" t="s">
        <v>137</v>
      </c>
      <c r="B58" t="s">
        <v>11</v>
      </c>
      <c r="C58" s="1">
        <v>46104</v>
      </c>
      <c r="D58" s="2">
        <v>0.61458333333333337</v>
      </c>
      <c r="E58" t="s">
        <v>116</v>
      </c>
      <c r="F58">
        <v>9.6999999999999993</v>
      </c>
      <c r="G58">
        <v>25</v>
      </c>
      <c r="H58" t="s">
        <v>14</v>
      </c>
      <c r="I58" t="s">
        <v>138</v>
      </c>
      <c r="K58" t="s">
        <v>466</v>
      </c>
      <c r="L58" s="1">
        <v>46168</v>
      </c>
    </row>
    <row r="59" spans="1:16" x14ac:dyDescent="0.3">
      <c r="A59" s="3" t="s">
        <v>139</v>
      </c>
      <c r="B59" t="s">
        <v>11</v>
      </c>
      <c r="C59" s="1">
        <v>46104</v>
      </c>
      <c r="D59" s="2">
        <v>0.61458333333333337</v>
      </c>
      <c r="E59" t="s">
        <v>116</v>
      </c>
      <c r="F59">
        <v>9.6999999999999993</v>
      </c>
      <c r="G59">
        <v>25</v>
      </c>
      <c r="H59" t="s">
        <v>14</v>
      </c>
      <c r="I59" t="s">
        <v>140</v>
      </c>
      <c r="K59" t="s">
        <v>466</v>
      </c>
      <c r="L59" s="1">
        <v>46168</v>
      </c>
    </row>
    <row r="60" spans="1:16" x14ac:dyDescent="0.3">
      <c r="A60" s="3" t="s">
        <v>141</v>
      </c>
      <c r="B60" t="s">
        <v>11</v>
      </c>
      <c r="C60" s="1">
        <v>46104</v>
      </c>
      <c r="D60" s="2">
        <v>0.6118055555555556</v>
      </c>
      <c r="E60" t="s">
        <v>116</v>
      </c>
      <c r="F60">
        <v>9.9</v>
      </c>
      <c r="G60">
        <v>25</v>
      </c>
      <c r="H60" t="s">
        <v>14</v>
      </c>
      <c r="I60" t="s">
        <v>142</v>
      </c>
      <c r="P60" t="s">
        <v>106</v>
      </c>
    </row>
    <row r="61" spans="1:16" x14ac:dyDescent="0.3">
      <c r="A61" s="3" t="s">
        <v>143</v>
      </c>
      <c r="B61" t="s">
        <v>11</v>
      </c>
      <c r="C61" s="1">
        <v>46104</v>
      </c>
      <c r="D61" s="2">
        <v>0.61111111111111116</v>
      </c>
      <c r="E61" t="s">
        <v>116</v>
      </c>
      <c r="F61">
        <v>9.8000000000000007</v>
      </c>
      <c r="G61">
        <v>25</v>
      </c>
      <c r="H61" t="s">
        <v>14</v>
      </c>
      <c r="I61" t="s">
        <v>144</v>
      </c>
      <c r="K61" t="s">
        <v>466</v>
      </c>
      <c r="L61" s="1">
        <v>46168</v>
      </c>
    </row>
    <row r="62" spans="1:16" x14ac:dyDescent="0.3">
      <c r="A62" s="3" t="s">
        <v>145</v>
      </c>
      <c r="B62" t="s">
        <v>11</v>
      </c>
      <c r="C62" s="1">
        <v>46104</v>
      </c>
      <c r="D62" s="2">
        <v>0.60972222222222228</v>
      </c>
      <c r="E62" t="s">
        <v>116</v>
      </c>
      <c r="F62">
        <v>9.9</v>
      </c>
      <c r="G62">
        <v>25</v>
      </c>
      <c r="H62" t="s">
        <v>14</v>
      </c>
      <c r="I62" t="s">
        <v>146</v>
      </c>
      <c r="K62" t="s">
        <v>468</v>
      </c>
      <c r="L62" s="1">
        <v>46168</v>
      </c>
    </row>
    <row r="63" spans="1:16" x14ac:dyDescent="0.3">
      <c r="A63" s="3" t="s">
        <v>147</v>
      </c>
      <c r="B63" t="s">
        <v>11</v>
      </c>
      <c r="C63" s="1">
        <v>46104</v>
      </c>
      <c r="D63" s="2">
        <v>0.60902777777777772</v>
      </c>
      <c r="E63" t="s">
        <v>116</v>
      </c>
      <c r="F63">
        <v>9.6999999999999993</v>
      </c>
      <c r="G63">
        <v>25</v>
      </c>
      <c r="H63" t="s">
        <v>14</v>
      </c>
      <c r="I63" t="s">
        <v>148</v>
      </c>
      <c r="K63" t="s">
        <v>466</v>
      </c>
      <c r="L63" s="1">
        <v>46168</v>
      </c>
    </row>
    <row r="64" spans="1:16" x14ac:dyDescent="0.3">
      <c r="A64" s="3" t="s">
        <v>149</v>
      </c>
      <c r="B64" t="s">
        <v>11</v>
      </c>
      <c r="C64" s="1">
        <v>46104</v>
      </c>
      <c r="D64" s="2">
        <v>0.5493055555555556</v>
      </c>
      <c r="E64" t="s">
        <v>150</v>
      </c>
      <c r="F64">
        <v>11.5</v>
      </c>
      <c r="G64">
        <v>25</v>
      </c>
      <c r="H64" t="s">
        <v>14</v>
      </c>
      <c r="I64" t="s">
        <v>151</v>
      </c>
      <c r="K64" t="s">
        <v>466</v>
      </c>
      <c r="L64" s="1">
        <v>46168</v>
      </c>
    </row>
    <row r="65" spans="1:12" x14ac:dyDescent="0.3">
      <c r="A65" s="3" t="s">
        <v>152</v>
      </c>
      <c r="B65" t="s">
        <v>11</v>
      </c>
      <c r="C65" s="1">
        <v>46104</v>
      </c>
      <c r="D65" s="2">
        <v>0.55138888888888893</v>
      </c>
      <c r="E65" t="s">
        <v>150</v>
      </c>
      <c r="F65">
        <v>11.5</v>
      </c>
      <c r="G65">
        <v>25</v>
      </c>
      <c r="H65" t="s">
        <v>14</v>
      </c>
      <c r="I65" t="s">
        <v>153</v>
      </c>
      <c r="K65" t="s">
        <v>466</v>
      </c>
      <c r="L65" s="1">
        <v>46168</v>
      </c>
    </row>
    <row r="66" spans="1:12" x14ac:dyDescent="0.3">
      <c r="A66" s="3" t="s">
        <v>154</v>
      </c>
      <c r="B66" t="s">
        <v>11</v>
      </c>
      <c r="C66" s="1">
        <v>46104</v>
      </c>
      <c r="D66" s="2">
        <v>0.55138888888888893</v>
      </c>
      <c r="E66" t="s">
        <v>150</v>
      </c>
      <c r="F66">
        <v>10.7</v>
      </c>
      <c r="G66">
        <v>25</v>
      </c>
      <c r="H66" t="s">
        <v>14</v>
      </c>
      <c r="I66" t="s">
        <v>155</v>
      </c>
      <c r="K66" t="s">
        <v>466</v>
      </c>
      <c r="L66" s="1">
        <v>46168</v>
      </c>
    </row>
    <row r="67" spans="1:12" x14ac:dyDescent="0.3">
      <c r="A67" s="3" t="s">
        <v>156</v>
      </c>
      <c r="B67" t="s">
        <v>11</v>
      </c>
      <c r="C67" s="1">
        <v>46104</v>
      </c>
      <c r="D67" s="2">
        <v>0.55277777777777781</v>
      </c>
      <c r="E67" t="s">
        <v>150</v>
      </c>
      <c r="F67">
        <v>10.7</v>
      </c>
      <c r="G67">
        <v>25</v>
      </c>
      <c r="H67" t="s">
        <v>14</v>
      </c>
      <c r="I67" t="s">
        <v>157</v>
      </c>
      <c r="K67" t="s">
        <v>468</v>
      </c>
      <c r="L67" s="1">
        <v>46168</v>
      </c>
    </row>
    <row r="68" spans="1:12" x14ac:dyDescent="0.3">
      <c r="A68" s="3" t="s">
        <v>158</v>
      </c>
      <c r="B68" t="s">
        <v>11</v>
      </c>
      <c r="C68" s="1">
        <v>46104</v>
      </c>
      <c r="D68" s="2">
        <v>0.55347222222222225</v>
      </c>
      <c r="E68" t="s">
        <v>150</v>
      </c>
      <c r="F68">
        <v>10.5</v>
      </c>
      <c r="G68">
        <v>25</v>
      </c>
      <c r="H68" t="s">
        <v>14</v>
      </c>
      <c r="I68" t="s">
        <v>159</v>
      </c>
      <c r="K68" t="s">
        <v>466</v>
      </c>
      <c r="L68" s="1">
        <v>46168</v>
      </c>
    </row>
    <row r="69" spans="1:12" x14ac:dyDescent="0.3">
      <c r="A69" s="3" t="s">
        <v>160</v>
      </c>
      <c r="B69" t="s">
        <v>11</v>
      </c>
      <c r="C69" s="1">
        <v>46104</v>
      </c>
      <c r="D69" s="2">
        <v>0.55347222222222225</v>
      </c>
      <c r="E69" t="s">
        <v>150</v>
      </c>
      <c r="F69">
        <v>10.6</v>
      </c>
      <c r="G69">
        <v>25</v>
      </c>
      <c r="H69" t="s">
        <v>14</v>
      </c>
      <c r="I69" t="s">
        <v>161</v>
      </c>
      <c r="K69" t="s">
        <v>466</v>
      </c>
      <c r="L69" s="1">
        <v>46168</v>
      </c>
    </row>
    <row r="70" spans="1:12" x14ac:dyDescent="0.3">
      <c r="A70" s="3" t="s">
        <v>162</v>
      </c>
      <c r="B70" t="s">
        <v>11</v>
      </c>
      <c r="C70" s="1">
        <v>46104</v>
      </c>
      <c r="D70" s="2">
        <v>0.55486111111111114</v>
      </c>
      <c r="E70" t="s">
        <v>150</v>
      </c>
      <c r="F70">
        <v>10.7</v>
      </c>
      <c r="G70">
        <v>25</v>
      </c>
      <c r="H70" t="s">
        <v>14</v>
      </c>
      <c r="I70" t="s">
        <v>163</v>
      </c>
      <c r="K70" t="s">
        <v>466</v>
      </c>
      <c r="L70" s="1">
        <v>46168</v>
      </c>
    </row>
    <row r="71" spans="1:12" x14ac:dyDescent="0.3">
      <c r="A71" s="3" t="s">
        <v>164</v>
      </c>
      <c r="B71" t="s">
        <v>11</v>
      </c>
      <c r="C71" s="1">
        <v>46104</v>
      </c>
      <c r="D71" s="2">
        <v>0.55555555555555558</v>
      </c>
      <c r="E71" t="s">
        <v>150</v>
      </c>
      <c r="F71">
        <v>10.8</v>
      </c>
      <c r="G71">
        <v>25</v>
      </c>
      <c r="H71" t="s">
        <v>14</v>
      </c>
      <c r="I71" t="s">
        <v>165</v>
      </c>
      <c r="K71" t="s">
        <v>467</v>
      </c>
      <c r="L71" s="1">
        <v>46168</v>
      </c>
    </row>
    <row r="72" spans="1:12" x14ac:dyDescent="0.3">
      <c r="A72" s="3" t="s">
        <v>166</v>
      </c>
      <c r="B72" t="s">
        <v>11</v>
      </c>
      <c r="C72" s="1">
        <v>46104</v>
      </c>
      <c r="D72" s="2">
        <v>0.55625000000000002</v>
      </c>
      <c r="E72" t="s">
        <v>150</v>
      </c>
      <c r="F72">
        <v>10.9</v>
      </c>
      <c r="G72">
        <v>25</v>
      </c>
      <c r="H72" t="s">
        <v>14</v>
      </c>
      <c r="I72" t="s">
        <v>167</v>
      </c>
      <c r="K72" t="s">
        <v>466</v>
      </c>
      <c r="L72" s="1">
        <v>46168</v>
      </c>
    </row>
    <row r="73" spans="1:12" x14ac:dyDescent="0.3">
      <c r="A73" s="3" t="s">
        <v>168</v>
      </c>
      <c r="B73" t="s">
        <v>11</v>
      </c>
      <c r="C73" s="1">
        <v>46104</v>
      </c>
      <c r="D73" s="2">
        <v>0.55694444444444446</v>
      </c>
      <c r="E73" t="s">
        <v>150</v>
      </c>
      <c r="F73">
        <v>11.1</v>
      </c>
      <c r="G73">
        <v>25</v>
      </c>
      <c r="H73" t="s">
        <v>14</v>
      </c>
      <c r="I73" t="s">
        <v>169</v>
      </c>
      <c r="K73" t="s">
        <v>468</v>
      </c>
      <c r="L73" s="1">
        <v>46168</v>
      </c>
    </row>
    <row r="74" spans="1:12" x14ac:dyDescent="0.3">
      <c r="A74" s="3" t="s">
        <v>170</v>
      </c>
      <c r="B74" t="s">
        <v>11</v>
      </c>
      <c r="C74" s="1">
        <v>46104</v>
      </c>
      <c r="D74" s="2">
        <v>0.55833333333333335</v>
      </c>
      <c r="E74" t="s">
        <v>150</v>
      </c>
      <c r="F74">
        <v>11</v>
      </c>
      <c r="G74">
        <v>25</v>
      </c>
      <c r="H74" t="s">
        <v>14</v>
      </c>
      <c r="I74" t="s">
        <v>171</v>
      </c>
      <c r="K74" t="s">
        <v>466</v>
      </c>
      <c r="L74" s="1">
        <v>46168</v>
      </c>
    </row>
    <row r="75" spans="1:12" x14ac:dyDescent="0.3">
      <c r="A75" s="3" t="s">
        <v>172</v>
      </c>
      <c r="B75" t="s">
        <v>11</v>
      </c>
      <c r="C75" s="1">
        <v>46104</v>
      </c>
      <c r="D75" s="2">
        <v>0.56041666666666667</v>
      </c>
      <c r="E75" t="s">
        <v>150</v>
      </c>
      <c r="F75">
        <v>11</v>
      </c>
      <c r="G75">
        <v>25</v>
      </c>
      <c r="H75" t="s">
        <v>14</v>
      </c>
      <c r="I75" t="s">
        <v>173</v>
      </c>
      <c r="K75" t="s">
        <v>466</v>
      </c>
      <c r="L75" s="1">
        <v>46168</v>
      </c>
    </row>
    <row r="76" spans="1:12" x14ac:dyDescent="0.3">
      <c r="A76" s="3" t="s">
        <v>174</v>
      </c>
      <c r="B76" t="s">
        <v>11</v>
      </c>
      <c r="C76" s="1">
        <v>46104</v>
      </c>
      <c r="D76" s="2">
        <v>0.56111111111111112</v>
      </c>
      <c r="E76" t="s">
        <v>150</v>
      </c>
      <c r="F76">
        <v>11</v>
      </c>
      <c r="G76">
        <v>25</v>
      </c>
      <c r="H76" t="s">
        <v>14</v>
      </c>
      <c r="I76" t="s">
        <v>175</v>
      </c>
      <c r="K76" t="s">
        <v>466</v>
      </c>
      <c r="L76" s="1">
        <v>46168</v>
      </c>
    </row>
    <row r="77" spans="1:12" x14ac:dyDescent="0.3">
      <c r="A77" s="3" t="s">
        <v>176</v>
      </c>
      <c r="B77" t="s">
        <v>11</v>
      </c>
      <c r="C77" s="1">
        <v>46104</v>
      </c>
      <c r="D77" s="2">
        <v>0.56388888888888888</v>
      </c>
      <c r="E77" t="s">
        <v>150</v>
      </c>
      <c r="F77">
        <v>11</v>
      </c>
      <c r="G77">
        <v>25</v>
      </c>
      <c r="H77" t="s">
        <v>14</v>
      </c>
      <c r="I77" t="s">
        <v>177</v>
      </c>
      <c r="K77" t="s">
        <v>466</v>
      </c>
      <c r="L77" s="1">
        <v>46168</v>
      </c>
    </row>
    <row r="78" spans="1:12" x14ac:dyDescent="0.3">
      <c r="A78" s="3" t="s">
        <v>178</v>
      </c>
      <c r="B78" t="s">
        <v>11</v>
      </c>
      <c r="C78" s="1">
        <v>46104</v>
      </c>
      <c r="D78" s="2">
        <v>0.56597222222222221</v>
      </c>
      <c r="E78" t="s">
        <v>150</v>
      </c>
      <c r="F78">
        <v>11</v>
      </c>
      <c r="G78">
        <v>25</v>
      </c>
      <c r="H78" t="s">
        <v>14</v>
      </c>
      <c r="I78" t="s">
        <v>179</v>
      </c>
      <c r="K78" t="s">
        <v>466</v>
      </c>
      <c r="L78" s="1">
        <v>46168</v>
      </c>
    </row>
    <row r="79" spans="1:12" x14ac:dyDescent="0.3">
      <c r="A79" s="3" t="s">
        <v>180</v>
      </c>
      <c r="B79" t="s">
        <v>443</v>
      </c>
      <c r="C79" s="1">
        <v>46106</v>
      </c>
      <c r="D79" s="2">
        <v>0.62222222222222223</v>
      </c>
      <c r="E79" t="s">
        <v>181</v>
      </c>
      <c r="F79">
        <v>5.3</v>
      </c>
      <c r="G79">
        <v>26</v>
      </c>
      <c r="H79" t="s">
        <v>14</v>
      </c>
      <c r="I79" t="s">
        <v>12</v>
      </c>
      <c r="K79" t="s">
        <v>466</v>
      </c>
      <c r="L79" s="1">
        <v>46168</v>
      </c>
    </row>
    <row r="80" spans="1:12" x14ac:dyDescent="0.3">
      <c r="A80" s="3" t="s">
        <v>182</v>
      </c>
      <c r="B80" t="s">
        <v>443</v>
      </c>
      <c r="C80" s="1">
        <v>46106</v>
      </c>
      <c r="D80" s="2">
        <v>0.62361111111111112</v>
      </c>
      <c r="E80" t="s">
        <v>181</v>
      </c>
      <c r="F80">
        <v>5.3</v>
      </c>
      <c r="G80">
        <v>26</v>
      </c>
      <c r="H80" t="s">
        <v>52</v>
      </c>
      <c r="I80" t="s">
        <v>12</v>
      </c>
      <c r="K80" t="s">
        <v>466</v>
      </c>
      <c r="L80" s="1">
        <v>46168</v>
      </c>
    </row>
    <row r="81" spans="1:16" x14ac:dyDescent="0.3">
      <c r="A81" s="3" t="s">
        <v>183</v>
      </c>
      <c r="B81" t="s">
        <v>443</v>
      </c>
      <c r="C81" s="1">
        <v>46106</v>
      </c>
      <c r="D81" s="2">
        <v>0.62638888888888888</v>
      </c>
      <c r="E81" t="s">
        <v>181</v>
      </c>
      <c r="F81">
        <v>5.2</v>
      </c>
      <c r="G81">
        <v>26</v>
      </c>
      <c r="H81" t="s">
        <v>52</v>
      </c>
      <c r="I81" t="s">
        <v>12</v>
      </c>
      <c r="P81" t="s">
        <v>106</v>
      </c>
    </row>
    <row r="82" spans="1:16" x14ac:dyDescent="0.3">
      <c r="A82" s="3" t="s">
        <v>184</v>
      </c>
      <c r="B82" t="s">
        <v>443</v>
      </c>
      <c r="C82" s="1">
        <v>46106</v>
      </c>
      <c r="D82" s="2">
        <v>0.62569444444444444</v>
      </c>
      <c r="E82" t="s">
        <v>181</v>
      </c>
      <c r="F82">
        <v>5.3</v>
      </c>
      <c r="G82">
        <v>26</v>
      </c>
      <c r="H82" t="s">
        <v>14</v>
      </c>
      <c r="I82" t="s">
        <v>12</v>
      </c>
      <c r="K82" t="s">
        <v>471</v>
      </c>
      <c r="L82" s="1">
        <v>46168</v>
      </c>
    </row>
    <row r="83" spans="1:16" x14ac:dyDescent="0.3">
      <c r="A83" s="3" t="s">
        <v>185</v>
      </c>
      <c r="B83" t="s">
        <v>443</v>
      </c>
      <c r="C83" s="1">
        <v>46106</v>
      </c>
      <c r="D83" s="2">
        <v>0.62222222222222223</v>
      </c>
      <c r="E83" t="s">
        <v>181</v>
      </c>
      <c r="F83">
        <v>5.3</v>
      </c>
      <c r="G83">
        <v>26</v>
      </c>
      <c r="H83" t="s">
        <v>14</v>
      </c>
      <c r="I83" t="s">
        <v>12</v>
      </c>
      <c r="K83" t="s">
        <v>466</v>
      </c>
      <c r="L83" s="1">
        <v>46168</v>
      </c>
    </row>
    <row r="84" spans="1:16" x14ac:dyDescent="0.3">
      <c r="A84" s="3" t="s">
        <v>186</v>
      </c>
      <c r="B84" t="s">
        <v>443</v>
      </c>
      <c r="C84" s="1">
        <v>46106</v>
      </c>
      <c r="D84" s="2">
        <v>0.62152777777777779</v>
      </c>
      <c r="E84" t="s">
        <v>181</v>
      </c>
      <c r="F84">
        <v>5.3</v>
      </c>
      <c r="G84">
        <v>26</v>
      </c>
      <c r="H84" t="s">
        <v>52</v>
      </c>
      <c r="I84" t="s">
        <v>12</v>
      </c>
      <c r="K84" t="s">
        <v>466</v>
      </c>
      <c r="L84" s="1">
        <v>46168</v>
      </c>
    </row>
    <row r="85" spans="1:16" x14ac:dyDescent="0.3">
      <c r="A85" s="3" t="s">
        <v>187</v>
      </c>
      <c r="B85" t="s">
        <v>443</v>
      </c>
      <c r="C85" s="1">
        <v>46106</v>
      </c>
      <c r="D85" s="2">
        <v>0.62361111111111112</v>
      </c>
      <c r="E85" t="s">
        <v>181</v>
      </c>
      <c r="F85">
        <v>5.3</v>
      </c>
      <c r="G85">
        <v>26</v>
      </c>
      <c r="H85" t="s">
        <v>52</v>
      </c>
      <c r="I85" t="s">
        <v>12</v>
      </c>
      <c r="K85" t="s">
        <v>471</v>
      </c>
      <c r="L85" s="1">
        <v>46168</v>
      </c>
    </row>
    <row r="86" spans="1:16" x14ac:dyDescent="0.3">
      <c r="A86" s="3" t="s">
        <v>188</v>
      </c>
      <c r="B86" t="s">
        <v>443</v>
      </c>
      <c r="C86" s="1">
        <v>46106</v>
      </c>
      <c r="D86" s="2">
        <v>0.625</v>
      </c>
      <c r="E86" t="s">
        <v>181</v>
      </c>
      <c r="F86">
        <v>5.5</v>
      </c>
      <c r="G86">
        <v>26</v>
      </c>
      <c r="H86" t="s">
        <v>52</v>
      </c>
      <c r="I86" t="s">
        <v>12</v>
      </c>
      <c r="K86" t="s">
        <v>466</v>
      </c>
      <c r="L86" s="1">
        <v>46168</v>
      </c>
    </row>
    <row r="87" spans="1:16" x14ac:dyDescent="0.3">
      <c r="A87" s="3" t="s">
        <v>189</v>
      </c>
      <c r="B87" t="s">
        <v>443</v>
      </c>
      <c r="C87" s="1">
        <v>46106</v>
      </c>
      <c r="D87" s="2">
        <v>0.62083333333333335</v>
      </c>
      <c r="E87" t="s">
        <v>181</v>
      </c>
      <c r="F87">
        <v>5.3</v>
      </c>
      <c r="G87">
        <v>26</v>
      </c>
      <c r="H87" t="s">
        <v>52</v>
      </c>
      <c r="I87" t="s">
        <v>12</v>
      </c>
      <c r="K87" t="s">
        <v>466</v>
      </c>
      <c r="L87" s="1">
        <v>46168</v>
      </c>
    </row>
    <row r="88" spans="1:16" x14ac:dyDescent="0.3">
      <c r="A88" s="3" t="s">
        <v>190</v>
      </c>
      <c r="B88" t="s">
        <v>443</v>
      </c>
      <c r="C88" s="1">
        <v>46106</v>
      </c>
      <c r="D88" s="2">
        <v>0.62638888888888888</v>
      </c>
      <c r="E88" t="s">
        <v>181</v>
      </c>
      <c r="F88">
        <v>5.2</v>
      </c>
      <c r="G88">
        <v>26</v>
      </c>
      <c r="H88" t="s">
        <v>52</v>
      </c>
      <c r="I88" t="s">
        <v>12</v>
      </c>
      <c r="K88" t="s">
        <v>466</v>
      </c>
      <c r="L88" s="1">
        <v>46168</v>
      </c>
    </row>
    <row r="89" spans="1:16" x14ac:dyDescent="0.3">
      <c r="A89" s="3" t="s">
        <v>191</v>
      </c>
      <c r="B89" t="s">
        <v>443</v>
      </c>
      <c r="C89" s="1">
        <v>46106</v>
      </c>
      <c r="D89" s="2">
        <v>0.62569444444444444</v>
      </c>
      <c r="E89" t="s">
        <v>181</v>
      </c>
      <c r="F89">
        <v>5.3</v>
      </c>
      <c r="G89">
        <v>26</v>
      </c>
      <c r="H89" t="s">
        <v>14</v>
      </c>
      <c r="I89" t="s">
        <v>12</v>
      </c>
      <c r="K89" t="s">
        <v>466</v>
      </c>
      <c r="L89" s="1">
        <v>46168</v>
      </c>
    </row>
    <row r="90" spans="1:16" x14ac:dyDescent="0.3">
      <c r="A90" s="3" t="s">
        <v>192</v>
      </c>
      <c r="B90" t="s">
        <v>443</v>
      </c>
      <c r="C90" s="1">
        <v>46106</v>
      </c>
      <c r="D90" s="2">
        <v>0.625</v>
      </c>
      <c r="E90" t="s">
        <v>181</v>
      </c>
      <c r="F90">
        <v>5.3</v>
      </c>
      <c r="G90">
        <v>26</v>
      </c>
      <c r="H90" t="s">
        <v>14</v>
      </c>
      <c r="I90" t="s">
        <v>12</v>
      </c>
      <c r="K90" t="s">
        <v>466</v>
      </c>
      <c r="L90" s="1">
        <v>46168</v>
      </c>
    </row>
    <row r="91" spans="1:16" x14ac:dyDescent="0.3">
      <c r="A91" s="3" t="s">
        <v>193</v>
      </c>
      <c r="B91" t="s">
        <v>11</v>
      </c>
      <c r="C91" s="1">
        <v>46106</v>
      </c>
      <c r="D91" s="2">
        <v>0.625</v>
      </c>
      <c r="E91" t="s">
        <v>194</v>
      </c>
      <c r="F91">
        <v>5.3</v>
      </c>
      <c r="G91">
        <v>26</v>
      </c>
      <c r="H91" t="s">
        <v>14</v>
      </c>
      <c r="I91" t="s">
        <v>12</v>
      </c>
      <c r="K91" t="s">
        <v>466</v>
      </c>
      <c r="L91" s="1">
        <v>46168</v>
      </c>
    </row>
    <row r="92" spans="1:16" x14ac:dyDescent="0.3">
      <c r="A92" s="3" t="s">
        <v>195</v>
      </c>
      <c r="B92" t="s">
        <v>443</v>
      </c>
      <c r="C92" s="1">
        <v>46106</v>
      </c>
      <c r="D92" s="2">
        <v>0.62847222222222221</v>
      </c>
      <c r="E92" t="s">
        <v>181</v>
      </c>
      <c r="F92">
        <v>5.2</v>
      </c>
      <c r="G92">
        <v>26</v>
      </c>
      <c r="H92" t="s">
        <v>52</v>
      </c>
      <c r="I92" t="s">
        <v>12</v>
      </c>
      <c r="K92" t="s">
        <v>466</v>
      </c>
      <c r="L92" s="1">
        <v>46168</v>
      </c>
    </row>
    <row r="93" spans="1:16" x14ac:dyDescent="0.3">
      <c r="A93" s="3" t="s">
        <v>196</v>
      </c>
      <c r="B93" t="s">
        <v>11</v>
      </c>
      <c r="C93" s="1">
        <v>46106</v>
      </c>
      <c r="D93" s="2">
        <v>0.62013888888888891</v>
      </c>
      <c r="E93" t="s">
        <v>181</v>
      </c>
      <c r="F93">
        <v>5.2</v>
      </c>
      <c r="G93">
        <v>26</v>
      </c>
      <c r="H93" t="s">
        <v>14</v>
      </c>
      <c r="I93" t="s">
        <v>12</v>
      </c>
      <c r="K93" t="s">
        <v>466</v>
      </c>
      <c r="L93" s="1">
        <v>46168</v>
      </c>
    </row>
    <row r="94" spans="1:16" x14ac:dyDescent="0.3">
      <c r="A94" s="3" t="s">
        <v>197</v>
      </c>
      <c r="B94" t="s">
        <v>443</v>
      </c>
      <c r="C94" s="1">
        <v>46106</v>
      </c>
      <c r="D94" s="2">
        <v>0.62361111111111112</v>
      </c>
      <c r="E94" t="s">
        <v>181</v>
      </c>
      <c r="F94">
        <v>5.4</v>
      </c>
      <c r="G94">
        <v>26</v>
      </c>
      <c r="H94" t="s">
        <v>14</v>
      </c>
      <c r="I94" t="s">
        <v>12</v>
      </c>
      <c r="K94" t="s">
        <v>471</v>
      </c>
      <c r="L94" s="1">
        <v>46168</v>
      </c>
    </row>
    <row r="95" spans="1:16" x14ac:dyDescent="0.3">
      <c r="A95" s="3" t="s">
        <v>198</v>
      </c>
      <c r="B95" t="s">
        <v>443</v>
      </c>
      <c r="C95" s="1">
        <v>46106</v>
      </c>
      <c r="D95" s="2">
        <v>0.5625</v>
      </c>
      <c r="E95" t="s">
        <v>199</v>
      </c>
      <c r="F95">
        <v>8.4</v>
      </c>
      <c r="G95">
        <v>25</v>
      </c>
      <c r="H95" t="s">
        <v>14</v>
      </c>
      <c r="I95" t="s">
        <v>12</v>
      </c>
      <c r="K95" t="s">
        <v>471</v>
      </c>
      <c r="L95" s="1">
        <v>46168</v>
      </c>
    </row>
    <row r="96" spans="1:16" x14ac:dyDescent="0.3">
      <c r="A96" s="3" t="s">
        <v>200</v>
      </c>
      <c r="B96" t="s">
        <v>443</v>
      </c>
      <c r="C96" s="1">
        <v>46106</v>
      </c>
      <c r="D96" s="2">
        <v>0.5625</v>
      </c>
      <c r="E96" t="s">
        <v>199</v>
      </c>
      <c r="F96">
        <v>8.6</v>
      </c>
      <c r="G96">
        <v>25</v>
      </c>
      <c r="H96" t="s">
        <v>52</v>
      </c>
      <c r="I96" t="s">
        <v>12</v>
      </c>
      <c r="P96" t="s">
        <v>474</v>
      </c>
    </row>
    <row r="97" spans="1:12" x14ac:dyDescent="0.3">
      <c r="A97" s="3" t="s">
        <v>201</v>
      </c>
      <c r="B97" t="s">
        <v>443</v>
      </c>
      <c r="C97" s="1">
        <v>46106</v>
      </c>
      <c r="D97" s="2">
        <v>0.56597222222222221</v>
      </c>
      <c r="E97" t="s">
        <v>199</v>
      </c>
      <c r="F97">
        <v>8.5</v>
      </c>
      <c r="G97">
        <v>25</v>
      </c>
      <c r="H97" t="s">
        <v>52</v>
      </c>
      <c r="I97" t="s">
        <v>12</v>
      </c>
      <c r="K97" t="s">
        <v>466</v>
      </c>
      <c r="L97" s="1">
        <v>46168</v>
      </c>
    </row>
    <row r="98" spans="1:12" x14ac:dyDescent="0.3">
      <c r="A98" s="3" t="s">
        <v>202</v>
      </c>
      <c r="B98" t="s">
        <v>443</v>
      </c>
      <c r="C98" s="1">
        <v>46106</v>
      </c>
      <c r="D98" s="2">
        <v>0.56736111111111109</v>
      </c>
      <c r="E98" t="s">
        <v>199</v>
      </c>
      <c r="F98">
        <v>8.5</v>
      </c>
      <c r="G98">
        <v>25</v>
      </c>
      <c r="H98" t="s">
        <v>14</v>
      </c>
      <c r="I98" t="s">
        <v>12</v>
      </c>
      <c r="K98" t="s">
        <v>471</v>
      </c>
      <c r="L98" s="1">
        <v>46168</v>
      </c>
    </row>
    <row r="99" spans="1:12" x14ac:dyDescent="0.3">
      <c r="A99" s="3" t="s">
        <v>203</v>
      </c>
      <c r="B99" t="s">
        <v>443</v>
      </c>
      <c r="C99" s="1">
        <v>46106</v>
      </c>
      <c r="D99" s="2">
        <v>0.56597222222222221</v>
      </c>
      <c r="E99" t="s">
        <v>199</v>
      </c>
      <c r="F99">
        <v>8.6</v>
      </c>
      <c r="G99">
        <v>25</v>
      </c>
      <c r="H99" t="s">
        <v>14</v>
      </c>
      <c r="I99" t="s">
        <v>12</v>
      </c>
      <c r="K99" t="s">
        <v>471</v>
      </c>
      <c r="L99" s="1">
        <v>46168</v>
      </c>
    </row>
    <row r="100" spans="1:12" x14ac:dyDescent="0.3">
      <c r="A100" s="3" t="s">
        <v>204</v>
      </c>
      <c r="B100" t="s">
        <v>443</v>
      </c>
      <c r="C100" s="1">
        <v>46106</v>
      </c>
      <c r="D100" s="2">
        <v>0.56527777777777777</v>
      </c>
      <c r="E100" t="s">
        <v>199</v>
      </c>
      <c r="F100">
        <v>8.6</v>
      </c>
      <c r="G100">
        <v>25</v>
      </c>
      <c r="H100" t="s">
        <v>14</v>
      </c>
      <c r="I100" t="s">
        <v>12</v>
      </c>
      <c r="K100" t="s">
        <v>467</v>
      </c>
      <c r="L100" s="1">
        <v>46168</v>
      </c>
    </row>
    <row r="101" spans="1:12" x14ac:dyDescent="0.3">
      <c r="A101" s="3" t="s">
        <v>205</v>
      </c>
      <c r="B101" t="s">
        <v>443</v>
      </c>
      <c r="C101" s="1">
        <v>46106</v>
      </c>
      <c r="D101" s="2">
        <v>0.56319444444444444</v>
      </c>
      <c r="E101" t="s">
        <v>199</v>
      </c>
      <c r="F101">
        <v>8.3000000000000007</v>
      </c>
      <c r="G101">
        <v>25</v>
      </c>
      <c r="H101" t="s">
        <v>14</v>
      </c>
      <c r="I101" t="s">
        <v>12</v>
      </c>
      <c r="K101" t="s">
        <v>471</v>
      </c>
      <c r="L101" s="1">
        <v>46168</v>
      </c>
    </row>
    <row r="102" spans="1:12" x14ac:dyDescent="0.3">
      <c r="A102" s="3" t="s">
        <v>206</v>
      </c>
      <c r="B102" t="s">
        <v>443</v>
      </c>
      <c r="C102" s="1">
        <v>46106</v>
      </c>
      <c r="D102" s="2">
        <v>0.56180555555555556</v>
      </c>
      <c r="E102" t="s">
        <v>199</v>
      </c>
      <c r="F102">
        <v>8.4</v>
      </c>
      <c r="G102">
        <v>25</v>
      </c>
      <c r="H102" t="s">
        <v>14</v>
      </c>
      <c r="I102" t="s">
        <v>12</v>
      </c>
      <c r="K102" t="s">
        <v>471</v>
      </c>
      <c r="L102" s="1">
        <v>46168</v>
      </c>
    </row>
    <row r="103" spans="1:12" x14ac:dyDescent="0.3">
      <c r="A103" s="3" t="s">
        <v>207</v>
      </c>
      <c r="B103" t="s">
        <v>11</v>
      </c>
      <c r="C103" s="1">
        <v>46106</v>
      </c>
      <c r="D103" s="2">
        <v>0.55902777777777779</v>
      </c>
      <c r="E103" t="s">
        <v>199</v>
      </c>
      <c r="F103">
        <v>8.4</v>
      </c>
      <c r="G103">
        <v>25</v>
      </c>
      <c r="H103" t="s">
        <v>52</v>
      </c>
      <c r="I103" t="s">
        <v>12</v>
      </c>
      <c r="K103" t="s">
        <v>472</v>
      </c>
      <c r="L103" s="1">
        <v>46168</v>
      </c>
    </row>
    <row r="104" spans="1:12" x14ac:dyDescent="0.3">
      <c r="A104" s="3" t="s">
        <v>208</v>
      </c>
      <c r="B104" t="s">
        <v>443</v>
      </c>
      <c r="C104" s="1">
        <v>46106</v>
      </c>
      <c r="D104" s="2">
        <v>0.56388888888888888</v>
      </c>
      <c r="E104" t="s">
        <v>199</v>
      </c>
      <c r="F104">
        <v>8.6</v>
      </c>
      <c r="G104">
        <v>25</v>
      </c>
      <c r="H104" t="s">
        <v>52</v>
      </c>
      <c r="I104" t="s">
        <v>12</v>
      </c>
      <c r="K104" t="s">
        <v>466</v>
      </c>
      <c r="L104" s="1">
        <v>46168</v>
      </c>
    </row>
    <row r="105" spans="1:12" x14ac:dyDescent="0.3">
      <c r="A105" s="3" t="s">
        <v>209</v>
      </c>
      <c r="B105" t="s">
        <v>443</v>
      </c>
      <c r="C105" s="1">
        <v>46106</v>
      </c>
      <c r="D105" s="2">
        <v>0.5625</v>
      </c>
      <c r="E105" t="s">
        <v>199</v>
      </c>
      <c r="F105">
        <v>8.4</v>
      </c>
      <c r="G105">
        <v>25</v>
      </c>
      <c r="H105" t="s">
        <v>52</v>
      </c>
      <c r="I105" t="s">
        <v>12</v>
      </c>
      <c r="K105" t="s">
        <v>473</v>
      </c>
      <c r="L105" s="1">
        <v>46168</v>
      </c>
    </row>
    <row r="106" spans="1:12" x14ac:dyDescent="0.3">
      <c r="A106" s="3" t="s">
        <v>210</v>
      </c>
      <c r="B106" t="s">
        <v>443</v>
      </c>
      <c r="C106" s="1">
        <v>46106</v>
      </c>
      <c r="D106" s="2">
        <v>0.56388888888888888</v>
      </c>
      <c r="E106" t="s">
        <v>199</v>
      </c>
      <c r="F106">
        <v>8.4</v>
      </c>
      <c r="G106">
        <v>25</v>
      </c>
      <c r="H106" t="s">
        <v>14</v>
      </c>
      <c r="I106" t="s">
        <v>12</v>
      </c>
      <c r="K106" t="s">
        <v>468</v>
      </c>
      <c r="L106" s="1">
        <v>46168</v>
      </c>
    </row>
    <row r="107" spans="1:12" x14ac:dyDescent="0.3">
      <c r="A107" s="3" t="s">
        <v>211</v>
      </c>
      <c r="B107" t="s">
        <v>443</v>
      </c>
      <c r="C107" s="1">
        <v>46106</v>
      </c>
      <c r="D107" s="2">
        <v>0.56458333333333333</v>
      </c>
      <c r="E107" t="s">
        <v>199</v>
      </c>
      <c r="F107">
        <v>8.6999999999999993</v>
      </c>
      <c r="G107">
        <v>25</v>
      </c>
      <c r="H107" t="s">
        <v>52</v>
      </c>
      <c r="I107" t="s">
        <v>12</v>
      </c>
      <c r="K107" t="s">
        <v>466</v>
      </c>
      <c r="L107" s="1">
        <v>46168</v>
      </c>
    </row>
    <row r="108" spans="1:12" x14ac:dyDescent="0.3">
      <c r="A108" s="3" t="s">
        <v>212</v>
      </c>
      <c r="B108" t="s">
        <v>443</v>
      </c>
      <c r="C108" s="1">
        <v>46106</v>
      </c>
      <c r="D108" s="2">
        <v>0.56527777777777777</v>
      </c>
      <c r="E108" t="s">
        <v>199</v>
      </c>
      <c r="F108">
        <v>8.5</v>
      </c>
      <c r="G108">
        <v>25</v>
      </c>
      <c r="H108" t="s">
        <v>14</v>
      </c>
      <c r="I108" t="s">
        <v>12</v>
      </c>
      <c r="K108" t="s">
        <v>466</v>
      </c>
      <c r="L108" s="1">
        <v>46168</v>
      </c>
    </row>
    <row r="109" spans="1:12" x14ac:dyDescent="0.3">
      <c r="A109" s="3" t="s">
        <v>213</v>
      </c>
      <c r="B109" t="s">
        <v>443</v>
      </c>
      <c r="C109" s="1">
        <v>46106</v>
      </c>
      <c r="D109" s="2">
        <v>0.56319444444444444</v>
      </c>
      <c r="E109" t="s">
        <v>199</v>
      </c>
      <c r="F109">
        <v>8.6</v>
      </c>
      <c r="G109">
        <v>25</v>
      </c>
      <c r="H109" t="s">
        <v>52</v>
      </c>
      <c r="I109" t="s">
        <v>12</v>
      </c>
      <c r="K109" t="s">
        <v>471</v>
      </c>
      <c r="L109" s="1">
        <v>46168</v>
      </c>
    </row>
    <row r="110" spans="1:12" x14ac:dyDescent="0.3">
      <c r="A110" s="3" t="s">
        <v>214</v>
      </c>
      <c r="B110" t="s">
        <v>443</v>
      </c>
      <c r="C110" s="1">
        <v>46106</v>
      </c>
      <c r="D110" s="2">
        <v>0.56666666666666665</v>
      </c>
      <c r="E110" t="s">
        <v>199</v>
      </c>
      <c r="F110">
        <v>8.4</v>
      </c>
      <c r="G110">
        <v>25</v>
      </c>
      <c r="H110" t="s">
        <v>52</v>
      </c>
      <c r="I110" t="s">
        <v>215</v>
      </c>
      <c r="K110" t="s">
        <v>467</v>
      </c>
      <c r="L110" s="1">
        <v>46168</v>
      </c>
    </row>
    <row r="111" spans="1:12" x14ac:dyDescent="0.3">
      <c r="A111" s="3" t="s">
        <v>216</v>
      </c>
      <c r="B111" t="s">
        <v>443</v>
      </c>
      <c r="C111" s="1">
        <v>46106</v>
      </c>
      <c r="D111" s="2">
        <v>0.56736111111111109</v>
      </c>
      <c r="E111" t="s">
        <v>199</v>
      </c>
      <c r="F111">
        <v>8.6</v>
      </c>
      <c r="G111">
        <v>25</v>
      </c>
      <c r="H111" t="s">
        <v>52</v>
      </c>
      <c r="I111" t="s">
        <v>217</v>
      </c>
      <c r="K111" t="s">
        <v>466</v>
      </c>
      <c r="L111" s="1">
        <v>46168</v>
      </c>
    </row>
    <row r="112" spans="1:12" x14ac:dyDescent="0.3">
      <c r="A112" s="3" t="s">
        <v>218</v>
      </c>
      <c r="B112" t="s">
        <v>11</v>
      </c>
      <c r="C112" s="1">
        <v>46128</v>
      </c>
      <c r="D112" s="2">
        <v>0.59097222222222223</v>
      </c>
      <c r="E112" t="s">
        <v>219</v>
      </c>
      <c r="F112">
        <v>8.1</v>
      </c>
      <c r="G112">
        <v>26</v>
      </c>
      <c r="H112" t="s">
        <v>52</v>
      </c>
      <c r="I112" t="s">
        <v>12</v>
      </c>
      <c r="K112" t="s">
        <v>466</v>
      </c>
      <c r="L112" s="1">
        <v>46168</v>
      </c>
    </row>
    <row r="113" spans="1:16" x14ac:dyDescent="0.3">
      <c r="A113" s="3" t="s">
        <v>220</v>
      </c>
      <c r="B113" t="s">
        <v>11</v>
      </c>
      <c r="C113" s="1">
        <v>46128</v>
      </c>
      <c r="D113" s="2">
        <v>0.59097222222222223</v>
      </c>
      <c r="E113" t="s">
        <v>219</v>
      </c>
      <c r="F113">
        <v>8.1</v>
      </c>
      <c r="G113">
        <v>26</v>
      </c>
      <c r="H113" t="s">
        <v>52</v>
      </c>
      <c r="I113" t="s">
        <v>12</v>
      </c>
      <c r="K113" t="s">
        <v>466</v>
      </c>
      <c r="L113" s="1">
        <v>46168</v>
      </c>
    </row>
    <row r="114" spans="1:16" x14ac:dyDescent="0.3">
      <c r="A114" s="3" t="s">
        <v>221</v>
      </c>
      <c r="B114" t="s">
        <v>11</v>
      </c>
      <c r="C114" s="1">
        <v>46128</v>
      </c>
      <c r="D114" s="2">
        <v>0.59097222222222223</v>
      </c>
      <c r="E114" t="s">
        <v>219</v>
      </c>
      <c r="F114">
        <v>8.1</v>
      </c>
      <c r="G114">
        <v>26</v>
      </c>
      <c r="H114" t="s">
        <v>52</v>
      </c>
      <c r="I114" t="s">
        <v>12</v>
      </c>
      <c r="K114" t="s">
        <v>473</v>
      </c>
      <c r="L114" s="1">
        <v>46168</v>
      </c>
    </row>
    <row r="115" spans="1:16" x14ac:dyDescent="0.3">
      <c r="A115" s="3" t="s">
        <v>222</v>
      </c>
      <c r="B115" t="s">
        <v>11</v>
      </c>
      <c r="C115" s="1">
        <v>46128</v>
      </c>
      <c r="D115" s="2">
        <v>0.59097222222222223</v>
      </c>
      <c r="E115" t="s">
        <v>219</v>
      </c>
      <c r="F115">
        <v>7.7</v>
      </c>
      <c r="G115">
        <v>26</v>
      </c>
      <c r="H115" t="s">
        <v>52</v>
      </c>
      <c r="I115" t="s">
        <v>12</v>
      </c>
      <c r="K115" t="s">
        <v>466</v>
      </c>
      <c r="L115" s="1">
        <v>46168</v>
      </c>
    </row>
    <row r="116" spans="1:16" x14ac:dyDescent="0.3">
      <c r="A116" s="3" t="s">
        <v>223</v>
      </c>
      <c r="B116" t="s">
        <v>11</v>
      </c>
      <c r="C116" s="1">
        <v>46128</v>
      </c>
      <c r="D116" s="2">
        <v>0.59097222222222223</v>
      </c>
      <c r="E116" t="s">
        <v>219</v>
      </c>
      <c r="F116">
        <v>7.8</v>
      </c>
      <c r="G116">
        <v>26</v>
      </c>
      <c r="H116" t="s">
        <v>52</v>
      </c>
      <c r="I116" t="s">
        <v>12</v>
      </c>
      <c r="K116" t="s">
        <v>466</v>
      </c>
      <c r="L116" s="1">
        <v>46168</v>
      </c>
    </row>
    <row r="117" spans="1:16" x14ac:dyDescent="0.3">
      <c r="A117" s="3" t="s">
        <v>224</v>
      </c>
      <c r="B117" t="s">
        <v>11</v>
      </c>
      <c r="C117" s="1">
        <v>46128</v>
      </c>
      <c r="D117" s="2">
        <v>0.59097222222222223</v>
      </c>
      <c r="E117" t="s">
        <v>219</v>
      </c>
      <c r="F117">
        <v>8.1999999999999993</v>
      </c>
      <c r="G117">
        <v>25</v>
      </c>
      <c r="H117" t="s">
        <v>14</v>
      </c>
      <c r="I117" t="s">
        <v>12</v>
      </c>
      <c r="K117" t="s">
        <v>466</v>
      </c>
      <c r="L117" s="1">
        <v>46168</v>
      </c>
    </row>
    <row r="118" spans="1:16" x14ac:dyDescent="0.3">
      <c r="A118" s="3" t="s">
        <v>225</v>
      </c>
      <c r="B118" t="s">
        <v>11</v>
      </c>
      <c r="C118" s="1">
        <v>46128</v>
      </c>
      <c r="D118" s="2">
        <v>0.59097222222222223</v>
      </c>
      <c r="E118" t="s">
        <v>219</v>
      </c>
      <c r="F118">
        <v>8.1999999999999993</v>
      </c>
      <c r="G118">
        <v>25</v>
      </c>
      <c r="H118" t="s">
        <v>14</v>
      </c>
      <c r="I118" t="s">
        <v>12</v>
      </c>
      <c r="K118" t="s">
        <v>466</v>
      </c>
      <c r="L118" s="1">
        <v>46168</v>
      </c>
    </row>
    <row r="119" spans="1:16" x14ac:dyDescent="0.3">
      <c r="A119" s="3" t="s">
        <v>226</v>
      </c>
      <c r="B119" t="s">
        <v>11</v>
      </c>
      <c r="C119" s="1">
        <v>46128</v>
      </c>
      <c r="D119" s="2">
        <v>0.59097222222222223</v>
      </c>
      <c r="E119" t="s">
        <v>219</v>
      </c>
      <c r="F119">
        <v>7.8</v>
      </c>
      <c r="G119">
        <v>26</v>
      </c>
      <c r="H119" t="s">
        <v>52</v>
      </c>
      <c r="I119" t="s">
        <v>12</v>
      </c>
      <c r="K119" t="s">
        <v>466</v>
      </c>
      <c r="L119" s="1">
        <v>46168</v>
      </c>
    </row>
    <row r="120" spans="1:16" x14ac:dyDescent="0.3">
      <c r="A120" s="3" t="s">
        <v>227</v>
      </c>
      <c r="B120" t="s">
        <v>11</v>
      </c>
      <c r="C120" s="1">
        <v>46128</v>
      </c>
      <c r="D120" s="2">
        <v>0.59097222222222223</v>
      </c>
      <c r="E120" t="s">
        <v>219</v>
      </c>
      <c r="F120">
        <v>7.5</v>
      </c>
      <c r="G120">
        <v>25</v>
      </c>
      <c r="H120" t="s">
        <v>14</v>
      </c>
      <c r="I120" t="s">
        <v>12</v>
      </c>
      <c r="K120" t="s">
        <v>472</v>
      </c>
      <c r="L120" s="1">
        <v>46168</v>
      </c>
    </row>
    <row r="121" spans="1:16" x14ac:dyDescent="0.3">
      <c r="A121" s="3" t="s">
        <v>228</v>
      </c>
      <c r="B121" t="s">
        <v>11</v>
      </c>
      <c r="C121" s="1">
        <v>46128</v>
      </c>
      <c r="D121" s="2">
        <v>0.59097222222222223</v>
      </c>
      <c r="E121" t="s">
        <v>219</v>
      </c>
      <c r="F121">
        <v>7.6</v>
      </c>
      <c r="G121">
        <v>25</v>
      </c>
      <c r="H121" t="s">
        <v>14</v>
      </c>
      <c r="I121" t="s">
        <v>12</v>
      </c>
      <c r="K121" t="s">
        <v>466</v>
      </c>
      <c r="L121" s="1">
        <v>46168</v>
      </c>
    </row>
    <row r="122" spans="1:16" x14ac:dyDescent="0.3">
      <c r="A122" s="3" t="s">
        <v>229</v>
      </c>
      <c r="B122" t="s">
        <v>11</v>
      </c>
      <c r="C122" s="1">
        <v>46128</v>
      </c>
      <c r="D122" s="2">
        <v>0.59097222222222223</v>
      </c>
      <c r="E122" t="s">
        <v>219</v>
      </c>
      <c r="F122">
        <v>7.2</v>
      </c>
      <c r="G122">
        <v>25</v>
      </c>
      <c r="H122" t="s">
        <v>14</v>
      </c>
      <c r="I122" t="s">
        <v>12</v>
      </c>
      <c r="K122" t="s">
        <v>466</v>
      </c>
      <c r="L122" s="1">
        <v>46168</v>
      </c>
    </row>
    <row r="123" spans="1:16" x14ac:dyDescent="0.3">
      <c r="A123" s="3" t="s">
        <v>230</v>
      </c>
      <c r="B123" t="s">
        <v>11</v>
      </c>
      <c r="C123" s="1">
        <v>46128</v>
      </c>
      <c r="D123" s="2">
        <v>0.59097222222222223</v>
      </c>
      <c r="E123" t="s">
        <v>219</v>
      </c>
      <c r="F123">
        <v>7.8</v>
      </c>
      <c r="G123">
        <v>26</v>
      </c>
      <c r="H123" t="s">
        <v>52</v>
      </c>
      <c r="I123" t="s">
        <v>12</v>
      </c>
      <c r="K123" t="s">
        <v>466</v>
      </c>
      <c r="L123" s="1">
        <v>46168</v>
      </c>
    </row>
    <row r="124" spans="1:16" x14ac:dyDescent="0.3">
      <c r="A124" s="3" t="s">
        <v>231</v>
      </c>
      <c r="B124" t="s">
        <v>11</v>
      </c>
      <c r="C124" s="1">
        <v>46128</v>
      </c>
      <c r="D124" s="2">
        <v>0.59097222222222223</v>
      </c>
      <c r="E124" t="s">
        <v>219</v>
      </c>
      <c r="F124">
        <v>7.8</v>
      </c>
      <c r="G124">
        <v>25</v>
      </c>
      <c r="H124" t="s">
        <v>14</v>
      </c>
      <c r="I124" t="s">
        <v>12</v>
      </c>
      <c r="K124" t="s">
        <v>466</v>
      </c>
      <c r="L124" s="1">
        <v>46168</v>
      </c>
    </row>
    <row r="125" spans="1:16" x14ac:dyDescent="0.3">
      <c r="A125" s="3" t="s">
        <v>232</v>
      </c>
      <c r="B125" t="s">
        <v>11</v>
      </c>
      <c r="C125" s="1">
        <v>46128</v>
      </c>
      <c r="D125" s="2">
        <v>0.59097222222222223</v>
      </c>
      <c r="E125" t="s">
        <v>219</v>
      </c>
      <c r="F125">
        <v>8.1</v>
      </c>
      <c r="G125">
        <v>25</v>
      </c>
      <c r="H125" t="s">
        <v>14</v>
      </c>
      <c r="I125" t="s">
        <v>12</v>
      </c>
      <c r="K125" t="s">
        <v>466</v>
      </c>
      <c r="L125" s="1">
        <v>46168</v>
      </c>
      <c r="P125" t="s">
        <v>475</v>
      </c>
    </row>
    <row r="126" spans="1:16" x14ac:dyDescent="0.3">
      <c r="A126" s="3" t="s">
        <v>233</v>
      </c>
      <c r="B126" t="s">
        <v>11</v>
      </c>
      <c r="C126" s="1">
        <v>46128</v>
      </c>
      <c r="D126" s="2">
        <v>0.59097222222222223</v>
      </c>
      <c r="E126" t="s">
        <v>219</v>
      </c>
      <c r="F126">
        <v>8.1999999999999993</v>
      </c>
      <c r="G126">
        <v>25</v>
      </c>
      <c r="H126" t="s">
        <v>14</v>
      </c>
      <c r="I126" t="s">
        <v>12</v>
      </c>
      <c r="K126" t="s">
        <v>467</v>
      </c>
      <c r="L126" s="1">
        <v>46168</v>
      </c>
    </row>
    <row r="127" spans="1:16" x14ac:dyDescent="0.3">
      <c r="A127" s="3" t="s">
        <v>234</v>
      </c>
      <c r="B127" t="s">
        <v>11</v>
      </c>
      <c r="C127" s="1">
        <v>46128</v>
      </c>
      <c r="D127" s="2">
        <v>0.59097222222222223</v>
      </c>
      <c r="E127" t="s">
        <v>219</v>
      </c>
      <c r="F127">
        <v>7.4</v>
      </c>
      <c r="G127">
        <v>25</v>
      </c>
      <c r="H127" t="s">
        <v>14</v>
      </c>
      <c r="I127" t="s">
        <v>12</v>
      </c>
      <c r="K127" t="s">
        <v>466</v>
      </c>
      <c r="L127" s="1">
        <v>46168</v>
      </c>
    </row>
    <row r="128" spans="1:16" x14ac:dyDescent="0.3">
      <c r="A128" s="3" t="s">
        <v>235</v>
      </c>
      <c r="B128" t="s">
        <v>11</v>
      </c>
      <c r="C128" s="1">
        <v>46128</v>
      </c>
      <c r="D128" s="2">
        <v>0.59097222222222223</v>
      </c>
      <c r="E128" t="s">
        <v>219</v>
      </c>
      <c r="F128">
        <v>7.9</v>
      </c>
      <c r="G128">
        <v>26</v>
      </c>
      <c r="H128" t="s">
        <v>52</v>
      </c>
      <c r="I128" t="s">
        <v>12</v>
      </c>
      <c r="K128" t="s">
        <v>466</v>
      </c>
      <c r="L128" s="1">
        <v>46168</v>
      </c>
    </row>
    <row r="129" spans="1:12" x14ac:dyDescent="0.3">
      <c r="A129" s="3" t="s">
        <v>236</v>
      </c>
      <c r="B129" t="s">
        <v>11</v>
      </c>
      <c r="C129" s="1">
        <v>46128</v>
      </c>
      <c r="D129" s="2">
        <v>0.59097222222222223</v>
      </c>
      <c r="E129" t="s">
        <v>219</v>
      </c>
      <c r="F129">
        <v>8.1999999999999993</v>
      </c>
      <c r="G129">
        <v>26</v>
      </c>
      <c r="H129" t="s">
        <v>52</v>
      </c>
      <c r="I129" t="s">
        <v>12</v>
      </c>
      <c r="K129" t="s">
        <v>466</v>
      </c>
      <c r="L129" s="1">
        <v>46168</v>
      </c>
    </row>
    <row r="130" spans="1:12" x14ac:dyDescent="0.3">
      <c r="A130" s="3" t="s">
        <v>237</v>
      </c>
      <c r="B130" t="s">
        <v>11</v>
      </c>
      <c r="C130" s="1">
        <v>46128</v>
      </c>
      <c r="D130" s="2">
        <v>0.59097222222222223</v>
      </c>
      <c r="E130" t="s">
        <v>219</v>
      </c>
      <c r="F130">
        <v>7.9</v>
      </c>
      <c r="G130">
        <v>26</v>
      </c>
      <c r="H130" t="s">
        <v>52</v>
      </c>
      <c r="I130" t="s">
        <v>12</v>
      </c>
      <c r="K130" t="s">
        <v>466</v>
      </c>
      <c r="L130" s="1">
        <v>46168</v>
      </c>
    </row>
    <row r="131" spans="1:12" x14ac:dyDescent="0.3">
      <c r="A131" s="3" t="s">
        <v>238</v>
      </c>
      <c r="B131" t="s">
        <v>11</v>
      </c>
      <c r="C131" s="1">
        <v>46128</v>
      </c>
      <c r="D131" s="2">
        <v>0.59097222222222223</v>
      </c>
      <c r="E131" t="s">
        <v>219</v>
      </c>
      <c r="F131">
        <v>7.8</v>
      </c>
      <c r="G131">
        <v>26</v>
      </c>
      <c r="H131" t="s">
        <v>52</v>
      </c>
      <c r="I131" t="s">
        <v>12</v>
      </c>
      <c r="K131" t="s">
        <v>466</v>
      </c>
      <c r="L131" s="1">
        <v>46168</v>
      </c>
    </row>
    <row r="132" spans="1:12" x14ac:dyDescent="0.3">
      <c r="A132" s="3" t="s">
        <v>239</v>
      </c>
      <c r="B132" t="s">
        <v>11</v>
      </c>
      <c r="C132" s="1">
        <v>46128</v>
      </c>
      <c r="D132" s="2">
        <v>0.59097222222222223</v>
      </c>
      <c r="E132" t="s">
        <v>219</v>
      </c>
      <c r="F132">
        <v>7.7</v>
      </c>
      <c r="G132">
        <v>26</v>
      </c>
      <c r="H132" t="s">
        <v>52</v>
      </c>
      <c r="I132" t="s">
        <v>12</v>
      </c>
      <c r="K132" t="s">
        <v>466</v>
      </c>
      <c r="L132" s="1">
        <v>46168</v>
      </c>
    </row>
    <row r="133" spans="1:12" x14ac:dyDescent="0.3">
      <c r="A133" s="3" t="s">
        <v>240</v>
      </c>
      <c r="B133" t="s">
        <v>11</v>
      </c>
      <c r="C133" s="1">
        <v>46128</v>
      </c>
      <c r="D133" s="2">
        <v>0.59097222222222223</v>
      </c>
      <c r="E133" t="s">
        <v>219</v>
      </c>
      <c r="F133">
        <v>7.6</v>
      </c>
      <c r="G133">
        <v>25</v>
      </c>
      <c r="H133" t="s">
        <v>14</v>
      </c>
      <c r="I133" t="s">
        <v>12</v>
      </c>
      <c r="K133" t="s">
        <v>466</v>
      </c>
      <c r="L133" s="1">
        <v>46168</v>
      </c>
    </row>
    <row r="134" spans="1:12" x14ac:dyDescent="0.3">
      <c r="A134" s="3" t="s">
        <v>241</v>
      </c>
      <c r="B134" t="s">
        <v>11</v>
      </c>
      <c r="C134" s="1">
        <v>46128</v>
      </c>
      <c r="D134" s="2">
        <v>0.59097222222222223</v>
      </c>
      <c r="E134" t="s">
        <v>219</v>
      </c>
      <c r="F134">
        <v>7.4</v>
      </c>
      <c r="G134">
        <v>25</v>
      </c>
      <c r="H134" t="s">
        <v>14</v>
      </c>
      <c r="I134" t="s">
        <v>12</v>
      </c>
      <c r="K134" t="s">
        <v>466</v>
      </c>
      <c r="L134" s="1">
        <v>46168</v>
      </c>
    </row>
    <row r="135" spans="1:12" x14ac:dyDescent="0.3">
      <c r="A135" s="3" t="s">
        <v>242</v>
      </c>
      <c r="B135" t="s">
        <v>11</v>
      </c>
      <c r="C135" s="1">
        <v>46128</v>
      </c>
      <c r="D135" s="2">
        <v>0.59097222222222223</v>
      </c>
      <c r="E135" t="s">
        <v>219</v>
      </c>
      <c r="F135">
        <v>7.8</v>
      </c>
      <c r="G135">
        <v>26</v>
      </c>
      <c r="H135" t="s">
        <v>52</v>
      </c>
      <c r="I135" t="s">
        <v>12</v>
      </c>
      <c r="K135" t="s">
        <v>472</v>
      </c>
      <c r="L135" s="1">
        <v>46168</v>
      </c>
    </row>
    <row r="136" spans="1:12" x14ac:dyDescent="0.3">
      <c r="A136" s="3" t="s">
        <v>243</v>
      </c>
      <c r="B136" t="s">
        <v>11</v>
      </c>
      <c r="C136" s="1">
        <v>46128</v>
      </c>
      <c r="D136" s="2">
        <v>0.59097222222222223</v>
      </c>
      <c r="E136" t="s">
        <v>219</v>
      </c>
      <c r="F136">
        <v>7.2</v>
      </c>
      <c r="G136">
        <v>25</v>
      </c>
      <c r="H136" t="s">
        <v>14</v>
      </c>
      <c r="I136" t="s">
        <v>12</v>
      </c>
      <c r="K136" t="s">
        <v>466</v>
      </c>
      <c r="L136" s="1">
        <v>46168</v>
      </c>
    </row>
    <row r="137" spans="1:12" x14ac:dyDescent="0.3">
      <c r="A137" s="3" t="s">
        <v>244</v>
      </c>
      <c r="B137" t="s">
        <v>11</v>
      </c>
      <c r="C137" s="1">
        <v>46128</v>
      </c>
      <c r="D137" s="2">
        <v>0.59097222222222223</v>
      </c>
      <c r="E137" t="s">
        <v>219</v>
      </c>
      <c r="F137">
        <v>8</v>
      </c>
      <c r="G137">
        <v>26</v>
      </c>
      <c r="H137" t="s">
        <v>52</v>
      </c>
      <c r="I137" t="s">
        <v>12</v>
      </c>
      <c r="K137" t="s">
        <v>466</v>
      </c>
      <c r="L137" s="1">
        <v>46168</v>
      </c>
    </row>
    <row r="138" spans="1:12" x14ac:dyDescent="0.3">
      <c r="A138" s="3" t="s">
        <v>245</v>
      </c>
      <c r="B138" t="s">
        <v>11</v>
      </c>
      <c r="C138" s="1">
        <v>46128</v>
      </c>
      <c r="D138" s="2">
        <v>0.59097222222222223</v>
      </c>
      <c r="E138" t="s">
        <v>219</v>
      </c>
      <c r="F138">
        <v>7.3</v>
      </c>
      <c r="G138">
        <v>25</v>
      </c>
      <c r="H138" t="s">
        <v>14</v>
      </c>
      <c r="I138" t="s">
        <v>12</v>
      </c>
      <c r="K138" t="s">
        <v>466</v>
      </c>
      <c r="L138" s="1">
        <v>46168</v>
      </c>
    </row>
    <row r="139" spans="1:12" x14ac:dyDescent="0.3">
      <c r="A139" s="3" t="s">
        <v>246</v>
      </c>
      <c r="B139" t="s">
        <v>11</v>
      </c>
      <c r="C139" s="1">
        <v>46128</v>
      </c>
      <c r="D139" s="2">
        <v>0.59097222222222223</v>
      </c>
      <c r="E139" t="s">
        <v>219</v>
      </c>
      <c r="F139">
        <v>7.7</v>
      </c>
      <c r="G139">
        <v>25</v>
      </c>
      <c r="H139" t="s">
        <v>14</v>
      </c>
      <c r="I139" t="s">
        <v>12</v>
      </c>
      <c r="K139" t="s">
        <v>466</v>
      </c>
      <c r="L139" s="1">
        <v>46168</v>
      </c>
    </row>
    <row r="140" spans="1:12" x14ac:dyDescent="0.3">
      <c r="A140" s="3" t="s">
        <v>247</v>
      </c>
      <c r="B140" t="s">
        <v>11</v>
      </c>
      <c r="C140" s="1">
        <v>46128</v>
      </c>
      <c r="D140" s="2">
        <v>0.59097222222222223</v>
      </c>
      <c r="E140" t="s">
        <v>219</v>
      </c>
      <c r="F140">
        <v>7.7</v>
      </c>
      <c r="G140">
        <v>26</v>
      </c>
      <c r="H140" t="s">
        <v>52</v>
      </c>
      <c r="I140" t="s">
        <v>12</v>
      </c>
      <c r="K140" t="s">
        <v>471</v>
      </c>
      <c r="L140" s="1">
        <v>46168</v>
      </c>
    </row>
    <row r="141" spans="1:12" x14ac:dyDescent="0.3">
      <c r="A141" s="3" t="s">
        <v>248</v>
      </c>
      <c r="B141" t="s">
        <v>11</v>
      </c>
      <c r="C141" s="1">
        <v>46128</v>
      </c>
      <c r="D141" s="2">
        <v>0.59097222222222223</v>
      </c>
      <c r="E141" t="s">
        <v>219</v>
      </c>
      <c r="F141">
        <v>7.9</v>
      </c>
      <c r="G141">
        <v>25</v>
      </c>
      <c r="H141" t="s">
        <v>14</v>
      </c>
      <c r="I141" t="s">
        <v>12</v>
      </c>
      <c r="K141" t="s">
        <v>466</v>
      </c>
      <c r="L141" s="1">
        <v>46168</v>
      </c>
    </row>
    <row r="142" spans="1:12" x14ac:dyDescent="0.3">
      <c r="A142" s="3" t="s">
        <v>249</v>
      </c>
      <c r="B142" t="s">
        <v>11</v>
      </c>
      <c r="C142" s="1">
        <v>46129</v>
      </c>
      <c r="D142" s="2" t="s">
        <v>12</v>
      </c>
      <c r="E142" t="s">
        <v>20</v>
      </c>
      <c r="F142">
        <v>9.6</v>
      </c>
      <c r="G142">
        <v>26</v>
      </c>
      <c r="H142" t="s">
        <v>52</v>
      </c>
      <c r="I142" t="s">
        <v>12</v>
      </c>
      <c r="K142" t="s">
        <v>466</v>
      </c>
      <c r="L142" s="1">
        <v>46168</v>
      </c>
    </row>
    <row r="143" spans="1:12" x14ac:dyDescent="0.3">
      <c r="A143" s="3" t="s">
        <v>250</v>
      </c>
      <c r="B143" t="s">
        <v>11</v>
      </c>
      <c r="C143" s="1">
        <v>46129</v>
      </c>
      <c r="D143" s="2" t="s">
        <v>12</v>
      </c>
      <c r="E143" t="s">
        <v>20</v>
      </c>
      <c r="F143">
        <v>9.3000000000000007</v>
      </c>
      <c r="G143">
        <v>26</v>
      </c>
      <c r="H143" t="s">
        <v>52</v>
      </c>
      <c r="I143" t="s">
        <v>12</v>
      </c>
      <c r="K143" t="s">
        <v>466</v>
      </c>
      <c r="L143" s="1">
        <v>46168</v>
      </c>
    </row>
    <row r="144" spans="1:12" x14ac:dyDescent="0.3">
      <c r="A144" s="3" t="s">
        <v>251</v>
      </c>
      <c r="B144" t="s">
        <v>11</v>
      </c>
      <c r="C144" s="1">
        <v>46129</v>
      </c>
      <c r="D144" s="2" t="s">
        <v>12</v>
      </c>
      <c r="E144" t="s">
        <v>20</v>
      </c>
      <c r="F144" t="s">
        <v>12</v>
      </c>
      <c r="G144">
        <v>26</v>
      </c>
      <c r="H144" t="s">
        <v>52</v>
      </c>
      <c r="I144" t="s">
        <v>12</v>
      </c>
      <c r="K144" t="s">
        <v>466</v>
      </c>
      <c r="L144" s="1">
        <v>46168</v>
      </c>
    </row>
    <row r="145" spans="1:16" x14ac:dyDescent="0.3">
      <c r="A145" s="3" t="s">
        <v>252</v>
      </c>
      <c r="B145" t="s">
        <v>11</v>
      </c>
      <c r="C145" s="1">
        <v>46129</v>
      </c>
      <c r="D145" s="2" t="s">
        <v>12</v>
      </c>
      <c r="E145" t="s">
        <v>20</v>
      </c>
      <c r="F145">
        <v>9.5</v>
      </c>
      <c r="G145">
        <v>26</v>
      </c>
      <c r="H145" t="s">
        <v>52</v>
      </c>
      <c r="I145" t="s">
        <v>12</v>
      </c>
      <c r="K145" t="s">
        <v>466</v>
      </c>
      <c r="L145" s="1">
        <v>46168</v>
      </c>
    </row>
    <row r="146" spans="1:16" x14ac:dyDescent="0.3">
      <c r="A146" s="3" t="s">
        <v>253</v>
      </c>
      <c r="B146" t="s">
        <v>11</v>
      </c>
      <c r="C146" s="1">
        <v>46129</v>
      </c>
      <c r="D146" s="2" t="s">
        <v>12</v>
      </c>
      <c r="E146" t="s">
        <v>20</v>
      </c>
      <c r="F146">
        <v>9.1</v>
      </c>
      <c r="G146">
        <v>26</v>
      </c>
      <c r="H146" t="s">
        <v>52</v>
      </c>
      <c r="I146" t="s">
        <v>12</v>
      </c>
      <c r="K146" t="s">
        <v>466</v>
      </c>
      <c r="L146" s="1">
        <v>46168</v>
      </c>
      <c r="P146" t="s">
        <v>463</v>
      </c>
    </row>
    <row r="147" spans="1:16" x14ac:dyDescent="0.3">
      <c r="A147" s="3" t="s">
        <v>448</v>
      </c>
      <c r="B147" t="s">
        <v>11</v>
      </c>
      <c r="C147" s="1">
        <v>46129</v>
      </c>
      <c r="D147" s="2" t="s">
        <v>12</v>
      </c>
      <c r="E147" t="s">
        <v>20</v>
      </c>
      <c r="F147">
        <v>9.1</v>
      </c>
      <c r="G147">
        <v>26</v>
      </c>
      <c r="H147" t="s">
        <v>52</v>
      </c>
      <c r="I147" t="s">
        <v>12</v>
      </c>
      <c r="K147" t="s">
        <v>466</v>
      </c>
      <c r="L147" s="1">
        <v>46168</v>
      </c>
      <c r="P147" t="s">
        <v>464</v>
      </c>
    </row>
    <row r="148" spans="1:16" x14ac:dyDescent="0.3">
      <c r="A148" s="3" t="s">
        <v>254</v>
      </c>
      <c r="B148" t="s">
        <v>11</v>
      </c>
      <c r="C148" s="1">
        <v>46129</v>
      </c>
      <c r="D148" s="2" t="s">
        <v>12</v>
      </c>
      <c r="E148" t="s">
        <v>20</v>
      </c>
      <c r="F148">
        <v>9.1</v>
      </c>
      <c r="G148">
        <v>26</v>
      </c>
      <c r="H148" t="s">
        <v>52</v>
      </c>
      <c r="I148" t="s">
        <v>12</v>
      </c>
      <c r="K148" t="s">
        <v>466</v>
      </c>
      <c r="L148" s="1">
        <v>46168</v>
      </c>
    </row>
    <row r="149" spans="1:16" x14ac:dyDescent="0.3">
      <c r="A149" s="3" t="s">
        <v>255</v>
      </c>
      <c r="B149" t="s">
        <v>11</v>
      </c>
      <c r="C149" s="1">
        <v>46129</v>
      </c>
      <c r="D149" s="2" t="s">
        <v>12</v>
      </c>
      <c r="E149" t="s">
        <v>20</v>
      </c>
      <c r="F149">
        <v>9.4</v>
      </c>
      <c r="G149">
        <v>26</v>
      </c>
      <c r="H149" t="s">
        <v>52</v>
      </c>
      <c r="I149" t="s">
        <v>12</v>
      </c>
      <c r="K149" t="s">
        <v>466</v>
      </c>
      <c r="L149" s="1">
        <v>46168</v>
      </c>
    </row>
    <row r="150" spans="1:16" x14ac:dyDescent="0.3">
      <c r="A150" s="3" t="s">
        <v>256</v>
      </c>
      <c r="B150" t="s">
        <v>11</v>
      </c>
      <c r="C150" s="1">
        <v>46129</v>
      </c>
      <c r="D150" s="2" t="s">
        <v>12</v>
      </c>
      <c r="E150" t="s">
        <v>20</v>
      </c>
      <c r="F150">
        <v>9.6</v>
      </c>
      <c r="G150">
        <v>26</v>
      </c>
      <c r="H150" t="s">
        <v>52</v>
      </c>
      <c r="I150" t="s">
        <v>12</v>
      </c>
      <c r="K150" t="s">
        <v>466</v>
      </c>
      <c r="L150" s="1">
        <v>46168</v>
      </c>
    </row>
    <row r="151" spans="1:16" x14ac:dyDescent="0.3">
      <c r="A151" s="3" t="s">
        <v>257</v>
      </c>
      <c r="B151" t="s">
        <v>11</v>
      </c>
      <c r="C151" s="1">
        <v>46129</v>
      </c>
      <c r="D151" s="2" t="s">
        <v>12</v>
      </c>
      <c r="E151" t="s">
        <v>20</v>
      </c>
      <c r="F151">
        <v>9.5</v>
      </c>
      <c r="G151">
        <v>26</v>
      </c>
      <c r="H151" t="s">
        <v>52</v>
      </c>
      <c r="I151" t="s">
        <v>12</v>
      </c>
      <c r="K151" t="s">
        <v>466</v>
      </c>
      <c r="L151" s="1">
        <v>46168</v>
      </c>
    </row>
    <row r="152" spans="1:16" x14ac:dyDescent="0.3">
      <c r="A152" s="3" t="s">
        <v>258</v>
      </c>
      <c r="B152" t="s">
        <v>11</v>
      </c>
      <c r="C152" s="1">
        <v>46129</v>
      </c>
      <c r="D152" s="2" t="s">
        <v>12</v>
      </c>
      <c r="E152" t="s">
        <v>20</v>
      </c>
      <c r="F152">
        <v>9.4</v>
      </c>
      <c r="G152">
        <v>26</v>
      </c>
      <c r="H152" t="s">
        <v>52</v>
      </c>
      <c r="I152" t="s">
        <v>12</v>
      </c>
      <c r="K152" t="s">
        <v>466</v>
      </c>
      <c r="L152" s="1">
        <v>46168</v>
      </c>
    </row>
    <row r="153" spans="1:16" x14ac:dyDescent="0.3">
      <c r="A153" s="3" t="s">
        <v>259</v>
      </c>
      <c r="B153" t="s">
        <v>11</v>
      </c>
      <c r="C153" s="1">
        <v>46130</v>
      </c>
      <c r="D153" s="2" t="s">
        <v>12</v>
      </c>
      <c r="E153" t="s">
        <v>260</v>
      </c>
      <c r="F153">
        <v>5.2</v>
      </c>
      <c r="G153">
        <v>27</v>
      </c>
      <c r="H153" t="s">
        <v>52</v>
      </c>
      <c r="I153" t="s">
        <v>12</v>
      </c>
      <c r="K153" t="s">
        <v>466</v>
      </c>
      <c r="L153" s="1">
        <v>46168</v>
      </c>
    </row>
    <row r="154" spans="1:16" x14ac:dyDescent="0.3">
      <c r="A154" s="3" t="s">
        <v>261</v>
      </c>
      <c r="B154" t="s">
        <v>11</v>
      </c>
      <c r="C154" s="1">
        <v>46130</v>
      </c>
      <c r="D154" s="2" t="s">
        <v>12</v>
      </c>
      <c r="E154" t="s">
        <v>260</v>
      </c>
      <c r="F154">
        <v>5</v>
      </c>
      <c r="G154">
        <v>27</v>
      </c>
      <c r="H154" t="s">
        <v>52</v>
      </c>
      <c r="I154" t="s">
        <v>12</v>
      </c>
      <c r="K154" t="s">
        <v>466</v>
      </c>
      <c r="L154" s="1">
        <v>46168</v>
      </c>
    </row>
    <row r="155" spans="1:16" x14ac:dyDescent="0.3">
      <c r="A155" s="3" t="s">
        <v>262</v>
      </c>
      <c r="B155" t="s">
        <v>11</v>
      </c>
      <c r="C155" s="1">
        <v>46130</v>
      </c>
      <c r="D155" s="2" t="s">
        <v>12</v>
      </c>
      <c r="E155" t="s">
        <v>260</v>
      </c>
      <c r="F155">
        <v>5.2</v>
      </c>
      <c r="G155">
        <v>27</v>
      </c>
      <c r="H155" t="s">
        <v>52</v>
      </c>
      <c r="I155" t="s">
        <v>12</v>
      </c>
      <c r="K155" t="s">
        <v>466</v>
      </c>
      <c r="L155" s="1">
        <v>46168</v>
      </c>
    </row>
    <row r="156" spans="1:16" x14ac:dyDescent="0.3">
      <c r="A156" s="3" t="s">
        <v>263</v>
      </c>
      <c r="B156" t="s">
        <v>11</v>
      </c>
      <c r="C156" s="1">
        <v>46130</v>
      </c>
      <c r="D156" s="2" t="s">
        <v>12</v>
      </c>
      <c r="E156" t="s">
        <v>260</v>
      </c>
      <c r="F156">
        <v>5.2</v>
      </c>
      <c r="G156">
        <v>27</v>
      </c>
      <c r="H156" t="s">
        <v>52</v>
      </c>
      <c r="I156" t="s">
        <v>12</v>
      </c>
      <c r="K156" t="s">
        <v>466</v>
      </c>
      <c r="L156" s="1">
        <v>46168</v>
      </c>
    </row>
    <row r="157" spans="1:16" x14ac:dyDescent="0.3">
      <c r="A157" s="3" t="s">
        <v>264</v>
      </c>
      <c r="B157" t="s">
        <v>11</v>
      </c>
      <c r="C157" s="1">
        <v>46130</v>
      </c>
      <c r="D157" s="2" t="s">
        <v>12</v>
      </c>
      <c r="E157" t="s">
        <v>260</v>
      </c>
      <c r="F157">
        <v>5.2</v>
      </c>
      <c r="G157">
        <v>26</v>
      </c>
      <c r="H157" t="s">
        <v>14</v>
      </c>
      <c r="I157" t="s">
        <v>12</v>
      </c>
      <c r="K157" t="s">
        <v>466</v>
      </c>
      <c r="L157" s="1">
        <v>46168</v>
      </c>
    </row>
    <row r="158" spans="1:16" x14ac:dyDescent="0.3">
      <c r="A158" s="3" t="s">
        <v>265</v>
      </c>
      <c r="B158" t="s">
        <v>11</v>
      </c>
      <c r="C158" s="1">
        <v>46130</v>
      </c>
      <c r="D158" s="2" t="s">
        <v>12</v>
      </c>
      <c r="E158" t="s">
        <v>260</v>
      </c>
      <c r="F158">
        <v>5.0999999999999996</v>
      </c>
      <c r="G158">
        <v>27</v>
      </c>
      <c r="H158" t="s">
        <v>52</v>
      </c>
      <c r="I158" t="s">
        <v>12</v>
      </c>
      <c r="K158" t="s">
        <v>466</v>
      </c>
      <c r="L158" s="1">
        <v>46168</v>
      </c>
    </row>
    <row r="159" spans="1:16" x14ac:dyDescent="0.3">
      <c r="A159" s="3" t="s">
        <v>266</v>
      </c>
      <c r="B159" t="s">
        <v>11</v>
      </c>
      <c r="C159" s="1">
        <v>46130</v>
      </c>
      <c r="D159" s="2" t="s">
        <v>12</v>
      </c>
      <c r="E159" t="s">
        <v>260</v>
      </c>
      <c r="F159">
        <v>4.9000000000000004</v>
      </c>
      <c r="G159">
        <v>26</v>
      </c>
      <c r="H159" t="s">
        <v>14</v>
      </c>
      <c r="I159" t="s">
        <v>12</v>
      </c>
      <c r="K159" t="s">
        <v>466</v>
      </c>
      <c r="L159" s="1">
        <v>46168</v>
      </c>
    </row>
    <row r="160" spans="1:16" x14ac:dyDescent="0.3">
      <c r="A160" s="3" t="s">
        <v>267</v>
      </c>
      <c r="B160" t="s">
        <v>11</v>
      </c>
      <c r="C160" s="1">
        <v>46130</v>
      </c>
      <c r="D160" s="2" t="s">
        <v>12</v>
      </c>
      <c r="E160" t="s">
        <v>260</v>
      </c>
      <c r="F160">
        <v>5.2</v>
      </c>
      <c r="G160">
        <v>26</v>
      </c>
      <c r="H160" t="s">
        <v>14</v>
      </c>
      <c r="I160" t="s">
        <v>12</v>
      </c>
      <c r="K160" t="s">
        <v>466</v>
      </c>
      <c r="L160" s="1">
        <v>46168</v>
      </c>
    </row>
    <row r="161" spans="1:16" x14ac:dyDescent="0.3">
      <c r="A161" s="3" t="s">
        <v>268</v>
      </c>
      <c r="B161" t="s">
        <v>11</v>
      </c>
      <c r="C161" s="1">
        <v>46130</v>
      </c>
      <c r="D161" s="2" t="s">
        <v>12</v>
      </c>
      <c r="E161" t="s">
        <v>260</v>
      </c>
      <c r="F161" t="s">
        <v>12</v>
      </c>
      <c r="G161">
        <v>27</v>
      </c>
      <c r="H161" t="s">
        <v>52</v>
      </c>
      <c r="I161" t="s">
        <v>12</v>
      </c>
      <c r="K161" t="s">
        <v>466</v>
      </c>
      <c r="L161" s="1">
        <v>46168</v>
      </c>
    </row>
    <row r="162" spans="1:16" x14ac:dyDescent="0.3">
      <c r="A162" s="3" t="s">
        <v>268</v>
      </c>
      <c r="B162" t="s">
        <v>11</v>
      </c>
      <c r="C162" s="1">
        <v>46130</v>
      </c>
      <c r="D162" s="2" t="s">
        <v>12</v>
      </c>
      <c r="E162" t="s">
        <v>260</v>
      </c>
      <c r="F162" t="s">
        <v>12</v>
      </c>
      <c r="G162">
        <v>26</v>
      </c>
      <c r="H162" t="s">
        <v>14</v>
      </c>
      <c r="I162" t="s">
        <v>12</v>
      </c>
      <c r="K162" t="s">
        <v>466</v>
      </c>
      <c r="L162" s="1">
        <v>46168</v>
      </c>
      <c r="P162" t="s">
        <v>441</v>
      </c>
    </row>
    <row r="163" spans="1:16" x14ac:dyDescent="0.3">
      <c r="A163" s="3" t="s">
        <v>269</v>
      </c>
      <c r="B163" t="s">
        <v>11</v>
      </c>
      <c r="C163" s="1">
        <v>46130</v>
      </c>
      <c r="D163" s="2" t="s">
        <v>12</v>
      </c>
      <c r="E163" t="s">
        <v>260</v>
      </c>
      <c r="F163">
        <v>5.0999999999999996</v>
      </c>
      <c r="G163">
        <v>26</v>
      </c>
      <c r="H163" t="s">
        <v>14</v>
      </c>
      <c r="I163" t="s">
        <v>12</v>
      </c>
      <c r="K163" t="s">
        <v>466</v>
      </c>
      <c r="L163" s="1">
        <v>46168</v>
      </c>
      <c r="P163" t="s">
        <v>442</v>
      </c>
    </row>
    <row r="164" spans="1:16" x14ac:dyDescent="0.3">
      <c r="A164" s="3" t="s">
        <v>270</v>
      </c>
      <c r="B164" t="s">
        <v>11</v>
      </c>
      <c r="C164" s="1">
        <v>46130</v>
      </c>
      <c r="D164" s="2" t="s">
        <v>12</v>
      </c>
      <c r="E164" t="s">
        <v>260</v>
      </c>
      <c r="F164">
        <v>5.0999999999999996</v>
      </c>
      <c r="G164">
        <v>27</v>
      </c>
      <c r="H164" t="s">
        <v>52</v>
      </c>
      <c r="I164" t="s">
        <v>12</v>
      </c>
      <c r="K164" t="s">
        <v>466</v>
      </c>
      <c r="L164" s="1">
        <v>46168</v>
      </c>
    </row>
    <row r="165" spans="1:16" x14ac:dyDescent="0.3">
      <c r="A165" s="3" t="s">
        <v>271</v>
      </c>
      <c r="B165" t="s">
        <v>11</v>
      </c>
      <c r="C165" s="1">
        <v>46130</v>
      </c>
      <c r="D165" s="2" t="s">
        <v>12</v>
      </c>
      <c r="E165" t="s">
        <v>260</v>
      </c>
      <c r="F165">
        <v>5.0999999999999996</v>
      </c>
      <c r="G165">
        <v>27</v>
      </c>
      <c r="H165" t="s">
        <v>52</v>
      </c>
      <c r="I165" t="s">
        <v>12</v>
      </c>
      <c r="K165" t="s">
        <v>466</v>
      </c>
      <c r="L165" s="1">
        <v>46168</v>
      </c>
    </row>
    <row r="166" spans="1:16" x14ac:dyDescent="0.3">
      <c r="A166" s="3" t="s">
        <v>272</v>
      </c>
      <c r="B166" t="s">
        <v>11</v>
      </c>
      <c r="C166" s="1">
        <v>46130</v>
      </c>
      <c r="D166" s="2" t="s">
        <v>12</v>
      </c>
      <c r="E166" t="s">
        <v>260</v>
      </c>
      <c r="F166">
        <v>5</v>
      </c>
      <c r="G166">
        <v>27</v>
      </c>
      <c r="H166" t="s">
        <v>52</v>
      </c>
      <c r="I166" t="s">
        <v>12</v>
      </c>
      <c r="K166" t="s">
        <v>473</v>
      </c>
      <c r="L166" s="1">
        <v>46168</v>
      </c>
    </row>
    <row r="167" spans="1:16" x14ac:dyDescent="0.3">
      <c r="A167" s="3" t="s">
        <v>273</v>
      </c>
      <c r="B167" t="s">
        <v>11</v>
      </c>
      <c r="C167" s="1">
        <v>46130</v>
      </c>
      <c r="D167" s="2" t="s">
        <v>12</v>
      </c>
      <c r="E167" t="s">
        <v>260</v>
      </c>
      <c r="F167">
        <v>5.3</v>
      </c>
      <c r="G167">
        <v>27</v>
      </c>
      <c r="H167" t="s">
        <v>52</v>
      </c>
      <c r="I167" t="s">
        <v>12</v>
      </c>
      <c r="K167" t="s">
        <v>466</v>
      </c>
      <c r="L167" s="1">
        <v>46168</v>
      </c>
    </row>
    <row r="168" spans="1:16" x14ac:dyDescent="0.3">
      <c r="A168" s="3" t="s">
        <v>274</v>
      </c>
      <c r="B168" t="s">
        <v>11</v>
      </c>
      <c r="C168" s="1">
        <v>46130</v>
      </c>
      <c r="D168" s="2" t="s">
        <v>12</v>
      </c>
      <c r="E168" t="s">
        <v>260</v>
      </c>
      <c r="F168">
        <v>5.0999999999999996</v>
      </c>
      <c r="G168">
        <v>27</v>
      </c>
      <c r="H168" t="s">
        <v>52</v>
      </c>
      <c r="I168" t="s">
        <v>12</v>
      </c>
      <c r="K168" t="s">
        <v>466</v>
      </c>
      <c r="L168" s="1">
        <v>46168</v>
      </c>
    </row>
    <row r="169" spans="1:16" x14ac:dyDescent="0.3">
      <c r="A169" s="3" t="s">
        <v>275</v>
      </c>
      <c r="B169" t="s">
        <v>11</v>
      </c>
      <c r="C169" s="1">
        <v>46130</v>
      </c>
      <c r="D169" s="2" t="s">
        <v>12</v>
      </c>
      <c r="E169" t="s">
        <v>260</v>
      </c>
      <c r="F169">
        <v>5.3</v>
      </c>
      <c r="G169">
        <v>26</v>
      </c>
      <c r="H169" t="s">
        <v>14</v>
      </c>
      <c r="I169" t="s">
        <v>12</v>
      </c>
      <c r="K169" t="s">
        <v>466</v>
      </c>
      <c r="L169" s="1">
        <v>46168</v>
      </c>
    </row>
    <row r="170" spans="1:16" x14ac:dyDescent="0.3">
      <c r="A170" s="3" t="s">
        <v>276</v>
      </c>
      <c r="B170" t="s">
        <v>11</v>
      </c>
      <c r="C170" s="1">
        <v>46130</v>
      </c>
      <c r="D170" s="2" t="s">
        <v>12</v>
      </c>
      <c r="E170" t="s">
        <v>260</v>
      </c>
      <c r="F170">
        <v>5</v>
      </c>
      <c r="G170">
        <v>27</v>
      </c>
      <c r="H170" t="s">
        <v>52</v>
      </c>
      <c r="I170" t="s">
        <v>12</v>
      </c>
      <c r="K170" t="s">
        <v>466</v>
      </c>
      <c r="L170" s="1">
        <v>46168</v>
      </c>
    </row>
    <row r="171" spans="1:16" x14ac:dyDescent="0.3">
      <c r="A171" s="3" t="s">
        <v>277</v>
      </c>
      <c r="B171" t="s">
        <v>11</v>
      </c>
      <c r="C171" s="1">
        <v>46130</v>
      </c>
      <c r="D171" s="2" t="s">
        <v>12</v>
      </c>
      <c r="E171" t="s">
        <v>260</v>
      </c>
      <c r="F171">
        <v>4.8</v>
      </c>
      <c r="G171">
        <v>26</v>
      </c>
      <c r="H171" t="s">
        <v>14</v>
      </c>
      <c r="I171" t="s">
        <v>12</v>
      </c>
      <c r="K171" t="s">
        <v>466</v>
      </c>
      <c r="L171" s="1">
        <v>46168</v>
      </c>
    </row>
    <row r="172" spans="1:16" x14ac:dyDescent="0.3">
      <c r="A172" s="3" t="s">
        <v>278</v>
      </c>
      <c r="B172" t="s">
        <v>11</v>
      </c>
      <c r="C172" s="1">
        <v>46130</v>
      </c>
      <c r="D172" s="2" t="s">
        <v>12</v>
      </c>
      <c r="E172" t="s">
        <v>260</v>
      </c>
      <c r="F172">
        <v>5.2</v>
      </c>
      <c r="G172">
        <v>26</v>
      </c>
      <c r="H172" t="s">
        <v>14</v>
      </c>
      <c r="I172" t="s">
        <v>12</v>
      </c>
      <c r="K172" t="s">
        <v>466</v>
      </c>
      <c r="L172" s="1">
        <v>46168</v>
      </c>
      <c r="P172" t="s">
        <v>476</v>
      </c>
    </row>
    <row r="173" spans="1:16" x14ac:dyDescent="0.3">
      <c r="A173" s="3" t="s">
        <v>279</v>
      </c>
      <c r="B173" t="s">
        <v>11</v>
      </c>
      <c r="C173" s="1">
        <v>46130</v>
      </c>
      <c r="D173" s="2" t="s">
        <v>12</v>
      </c>
      <c r="E173" t="s">
        <v>260</v>
      </c>
      <c r="F173">
        <v>5.2</v>
      </c>
      <c r="G173">
        <v>27</v>
      </c>
      <c r="H173" t="s">
        <v>52</v>
      </c>
      <c r="I173" t="s">
        <v>12</v>
      </c>
      <c r="K173" t="s">
        <v>466</v>
      </c>
      <c r="L173" s="1">
        <v>46168</v>
      </c>
    </row>
    <row r="174" spans="1:16" x14ac:dyDescent="0.3">
      <c r="A174" s="3" t="s">
        <v>280</v>
      </c>
      <c r="B174" t="s">
        <v>11</v>
      </c>
      <c r="C174" s="1">
        <v>46130</v>
      </c>
      <c r="D174" s="2" t="s">
        <v>12</v>
      </c>
      <c r="E174" t="s">
        <v>260</v>
      </c>
      <c r="F174">
        <v>5.3</v>
      </c>
      <c r="G174">
        <v>26</v>
      </c>
      <c r="H174" t="s">
        <v>14</v>
      </c>
      <c r="I174" t="s">
        <v>12</v>
      </c>
      <c r="K174" t="s">
        <v>466</v>
      </c>
      <c r="L174" s="1">
        <v>46168</v>
      </c>
    </row>
    <row r="175" spans="1:16" x14ac:dyDescent="0.3">
      <c r="A175" s="3" t="s">
        <v>281</v>
      </c>
      <c r="B175" t="s">
        <v>11</v>
      </c>
      <c r="C175" s="1">
        <v>46130</v>
      </c>
      <c r="D175" s="2" t="s">
        <v>12</v>
      </c>
      <c r="E175" t="s">
        <v>260</v>
      </c>
      <c r="F175">
        <v>5</v>
      </c>
      <c r="G175">
        <v>26</v>
      </c>
      <c r="H175" t="s">
        <v>14</v>
      </c>
      <c r="I175" t="s">
        <v>12</v>
      </c>
      <c r="K175" t="s">
        <v>466</v>
      </c>
      <c r="L175" s="1">
        <v>46168</v>
      </c>
    </row>
    <row r="176" spans="1:16" x14ac:dyDescent="0.3">
      <c r="A176" s="3" t="s">
        <v>282</v>
      </c>
      <c r="B176" t="s">
        <v>11</v>
      </c>
      <c r="C176" s="1">
        <v>46130</v>
      </c>
      <c r="D176" s="2" t="s">
        <v>12</v>
      </c>
      <c r="E176" t="s">
        <v>260</v>
      </c>
      <c r="F176">
        <v>5.2</v>
      </c>
      <c r="G176">
        <v>26</v>
      </c>
      <c r="H176" t="s">
        <v>14</v>
      </c>
      <c r="I176" t="s">
        <v>12</v>
      </c>
      <c r="K176" t="s">
        <v>466</v>
      </c>
      <c r="L176" s="1">
        <v>46168</v>
      </c>
    </row>
    <row r="177" spans="1:12" x14ac:dyDescent="0.3">
      <c r="A177" s="3" t="s">
        <v>283</v>
      </c>
      <c r="B177" t="s">
        <v>11</v>
      </c>
      <c r="C177" s="1">
        <v>46130</v>
      </c>
      <c r="D177" s="2" t="s">
        <v>12</v>
      </c>
      <c r="E177" t="s">
        <v>260</v>
      </c>
      <c r="F177">
        <v>4.9000000000000004</v>
      </c>
      <c r="G177">
        <v>26</v>
      </c>
      <c r="H177" t="s">
        <v>14</v>
      </c>
      <c r="I177" t="s">
        <v>12</v>
      </c>
      <c r="K177" t="s">
        <v>466</v>
      </c>
      <c r="L177" s="1">
        <v>46168</v>
      </c>
    </row>
    <row r="178" spans="1:12" x14ac:dyDescent="0.3">
      <c r="A178" s="3" t="s">
        <v>284</v>
      </c>
      <c r="B178" t="s">
        <v>11</v>
      </c>
      <c r="C178" s="1">
        <v>46130</v>
      </c>
      <c r="D178" s="2" t="s">
        <v>12</v>
      </c>
      <c r="E178" t="s">
        <v>260</v>
      </c>
      <c r="F178">
        <v>5.0999999999999996</v>
      </c>
      <c r="G178">
        <v>26</v>
      </c>
      <c r="H178" t="s">
        <v>14</v>
      </c>
      <c r="I178" t="s">
        <v>12</v>
      </c>
      <c r="K178" t="s">
        <v>466</v>
      </c>
      <c r="L178" s="1">
        <v>46168</v>
      </c>
    </row>
    <row r="179" spans="1:12" x14ac:dyDescent="0.3">
      <c r="A179" s="3" t="s">
        <v>285</v>
      </c>
      <c r="B179" t="s">
        <v>11</v>
      </c>
      <c r="C179" s="1">
        <v>46130</v>
      </c>
      <c r="D179" s="2" t="s">
        <v>12</v>
      </c>
      <c r="E179" t="s">
        <v>260</v>
      </c>
      <c r="F179">
        <v>5.0999999999999996</v>
      </c>
      <c r="G179">
        <v>26</v>
      </c>
      <c r="H179" t="s">
        <v>14</v>
      </c>
      <c r="I179" t="s">
        <v>12</v>
      </c>
      <c r="K179" t="s">
        <v>466</v>
      </c>
      <c r="L179" s="1">
        <v>46168</v>
      </c>
    </row>
    <row r="180" spans="1:12" x14ac:dyDescent="0.3">
      <c r="A180" s="3" t="s">
        <v>286</v>
      </c>
      <c r="B180" t="s">
        <v>11</v>
      </c>
      <c r="C180" s="1">
        <v>46130</v>
      </c>
      <c r="D180" s="2" t="s">
        <v>12</v>
      </c>
      <c r="E180" t="s">
        <v>260</v>
      </c>
      <c r="F180">
        <v>5.0999999999999996</v>
      </c>
      <c r="G180">
        <v>26</v>
      </c>
      <c r="H180" t="s">
        <v>14</v>
      </c>
      <c r="I180" t="s">
        <v>12</v>
      </c>
      <c r="K180" t="s">
        <v>466</v>
      </c>
      <c r="L180" s="1">
        <v>46168</v>
      </c>
    </row>
    <row r="181" spans="1:12" x14ac:dyDescent="0.3">
      <c r="A181" s="3" t="s">
        <v>287</v>
      </c>
      <c r="B181" t="s">
        <v>11</v>
      </c>
      <c r="C181" s="1">
        <v>46130</v>
      </c>
      <c r="D181" s="2" t="s">
        <v>12</v>
      </c>
      <c r="E181" t="s">
        <v>260</v>
      </c>
      <c r="F181">
        <v>5.3</v>
      </c>
      <c r="G181">
        <v>27</v>
      </c>
      <c r="H181" t="s">
        <v>52</v>
      </c>
      <c r="I181" t="s">
        <v>12</v>
      </c>
      <c r="K181" t="s">
        <v>466</v>
      </c>
      <c r="L181" s="1">
        <v>46168</v>
      </c>
    </row>
    <row r="182" spans="1:12" x14ac:dyDescent="0.3">
      <c r="A182" s="3" t="s">
        <v>288</v>
      </c>
      <c r="B182" t="s">
        <v>11</v>
      </c>
      <c r="C182" s="1">
        <v>46130</v>
      </c>
      <c r="D182" s="2" t="s">
        <v>12</v>
      </c>
      <c r="E182" t="s">
        <v>260</v>
      </c>
      <c r="F182">
        <v>5.2</v>
      </c>
      <c r="G182">
        <v>27</v>
      </c>
      <c r="H182" t="s">
        <v>52</v>
      </c>
      <c r="I182" t="s">
        <v>12</v>
      </c>
      <c r="K182" t="s">
        <v>466</v>
      </c>
      <c r="L182" s="1">
        <v>46168</v>
      </c>
    </row>
    <row r="183" spans="1:12" x14ac:dyDescent="0.3">
      <c r="A183" s="3" t="s">
        <v>462</v>
      </c>
      <c r="B183" t="s">
        <v>11</v>
      </c>
      <c r="C183" s="1" t="s">
        <v>124</v>
      </c>
      <c r="D183" s="2" t="s">
        <v>124</v>
      </c>
      <c r="E183" t="s">
        <v>124</v>
      </c>
      <c r="F183" t="s">
        <v>124</v>
      </c>
      <c r="G183" t="s">
        <v>124</v>
      </c>
      <c r="H183" t="s">
        <v>124</v>
      </c>
      <c r="I183" t="s">
        <v>12</v>
      </c>
    </row>
    <row r="184" spans="1:12" x14ac:dyDescent="0.3">
      <c r="A184" s="3" t="s">
        <v>477</v>
      </c>
      <c r="B184" t="s">
        <v>11</v>
      </c>
      <c r="C184" s="1">
        <v>46156</v>
      </c>
      <c r="D184" s="2" t="s">
        <v>12</v>
      </c>
      <c r="E184" t="s">
        <v>415</v>
      </c>
      <c r="F184" t="s">
        <v>12</v>
      </c>
      <c r="G184">
        <v>27</v>
      </c>
      <c r="H184" t="s">
        <v>37</v>
      </c>
      <c r="I184" t="s">
        <v>12</v>
      </c>
      <c r="K184" t="s">
        <v>473</v>
      </c>
      <c r="L184" s="1">
        <v>46168</v>
      </c>
    </row>
    <row r="185" spans="1:12" x14ac:dyDescent="0.3">
      <c r="A185" s="3" t="s">
        <v>478</v>
      </c>
      <c r="B185" t="s">
        <v>11</v>
      </c>
      <c r="C185" s="1">
        <v>46156</v>
      </c>
      <c r="D185" s="2" t="s">
        <v>12</v>
      </c>
      <c r="E185" t="s">
        <v>415</v>
      </c>
      <c r="F185">
        <v>9.1</v>
      </c>
      <c r="G185">
        <v>27</v>
      </c>
      <c r="H185" t="s">
        <v>14</v>
      </c>
      <c r="I185" t="s">
        <v>12</v>
      </c>
      <c r="K185" t="s">
        <v>466</v>
      </c>
      <c r="L185" s="1">
        <v>46168</v>
      </c>
    </row>
    <row r="186" spans="1:12" x14ac:dyDescent="0.3">
      <c r="A186" s="3" t="s">
        <v>479</v>
      </c>
      <c r="B186" t="s">
        <v>11</v>
      </c>
      <c r="C186" s="1">
        <v>46156</v>
      </c>
      <c r="D186" s="2" t="s">
        <v>12</v>
      </c>
      <c r="E186" t="s">
        <v>415</v>
      </c>
      <c r="F186">
        <v>9.1</v>
      </c>
      <c r="G186">
        <v>27</v>
      </c>
      <c r="H186" t="s">
        <v>14</v>
      </c>
      <c r="I186" t="s">
        <v>12</v>
      </c>
      <c r="K186" t="s">
        <v>473</v>
      </c>
      <c r="L186" s="1">
        <v>46168</v>
      </c>
    </row>
    <row r="187" spans="1:12" x14ac:dyDescent="0.3">
      <c r="A187" s="3" t="s">
        <v>480</v>
      </c>
      <c r="B187" t="s">
        <v>11</v>
      </c>
      <c r="C187" s="1">
        <v>46156</v>
      </c>
      <c r="D187" s="2" t="s">
        <v>12</v>
      </c>
      <c r="E187" t="s">
        <v>415</v>
      </c>
      <c r="F187" t="s">
        <v>12</v>
      </c>
      <c r="G187">
        <v>27</v>
      </c>
      <c r="H187" t="s">
        <v>37</v>
      </c>
      <c r="I187" t="s">
        <v>12</v>
      </c>
      <c r="K187" t="s">
        <v>473</v>
      </c>
      <c r="L187" s="1">
        <v>46168</v>
      </c>
    </row>
    <row r="188" spans="1:12" x14ac:dyDescent="0.3">
      <c r="A188" s="3" t="s">
        <v>481</v>
      </c>
      <c r="B188" t="s">
        <v>11</v>
      </c>
      <c r="C188" s="1">
        <v>46156</v>
      </c>
      <c r="D188" s="2" t="s">
        <v>12</v>
      </c>
      <c r="E188" t="s">
        <v>415</v>
      </c>
      <c r="F188">
        <v>9.1</v>
      </c>
      <c r="G188">
        <v>27</v>
      </c>
      <c r="H188" t="s">
        <v>14</v>
      </c>
      <c r="I188" t="s">
        <v>12</v>
      </c>
      <c r="K188" t="s">
        <v>473</v>
      </c>
      <c r="L188" s="1">
        <v>46168</v>
      </c>
    </row>
    <row r="189" spans="1:12" x14ac:dyDescent="0.3">
      <c r="A189" s="3" t="s">
        <v>482</v>
      </c>
      <c r="B189" t="s">
        <v>11</v>
      </c>
      <c r="C189" s="1">
        <v>46156</v>
      </c>
      <c r="D189" s="2" t="s">
        <v>12</v>
      </c>
      <c r="E189" t="s">
        <v>415</v>
      </c>
      <c r="F189" t="s">
        <v>12</v>
      </c>
      <c r="G189">
        <v>27</v>
      </c>
      <c r="H189" t="s">
        <v>37</v>
      </c>
      <c r="I189" t="s">
        <v>12</v>
      </c>
      <c r="K189" t="s">
        <v>473</v>
      </c>
      <c r="L189" s="1">
        <v>46168</v>
      </c>
    </row>
    <row r="190" spans="1:12" x14ac:dyDescent="0.3">
      <c r="A190" s="3" t="s">
        <v>483</v>
      </c>
      <c r="B190" t="s">
        <v>11</v>
      </c>
      <c r="C190" s="1">
        <v>46156</v>
      </c>
      <c r="D190" s="2" t="s">
        <v>12</v>
      </c>
      <c r="E190" t="s">
        <v>415</v>
      </c>
      <c r="F190" t="s">
        <v>12</v>
      </c>
      <c r="G190">
        <v>27</v>
      </c>
      <c r="H190" t="s">
        <v>37</v>
      </c>
      <c r="I190" t="s">
        <v>12</v>
      </c>
      <c r="K190" t="s">
        <v>473</v>
      </c>
      <c r="L190" s="1">
        <v>46168</v>
      </c>
    </row>
    <row r="191" spans="1:12" x14ac:dyDescent="0.3">
      <c r="A191" s="3" t="s">
        <v>484</v>
      </c>
      <c r="B191" t="s">
        <v>11</v>
      </c>
      <c r="C191" s="1">
        <v>46156</v>
      </c>
      <c r="D191" s="2" t="s">
        <v>12</v>
      </c>
      <c r="E191" t="s">
        <v>415</v>
      </c>
      <c r="F191">
        <v>8.8000000000000007</v>
      </c>
      <c r="G191">
        <v>27</v>
      </c>
      <c r="H191" t="s">
        <v>14</v>
      </c>
      <c r="I191" t="s">
        <v>12</v>
      </c>
      <c r="K191" t="s">
        <v>466</v>
      </c>
      <c r="L191" s="1">
        <v>46168</v>
      </c>
    </row>
    <row r="192" spans="1:12" x14ac:dyDescent="0.3">
      <c r="A192" s="3" t="s">
        <v>485</v>
      </c>
      <c r="B192" t="s">
        <v>11</v>
      </c>
      <c r="C192" s="1">
        <v>46156</v>
      </c>
      <c r="D192" s="2" t="s">
        <v>12</v>
      </c>
      <c r="E192" t="s">
        <v>415</v>
      </c>
      <c r="F192" t="s">
        <v>12</v>
      </c>
      <c r="G192">
        <v>27</v>
      </c>
      <c r="H192" t="s">
        <v>37</v>
      </c>
      <c r="I192" t="s">
        <v>12</v>
      </c>
      <c r="K192" t="s">
        <v>466</v>
      </c>
      <c r="L192" s="1">
        <v>46168</v>
      </c>
    </row>
    <row r="193" spans="1:12" x14ac:dyDescent="0.3">
      <c r="A193" s="3" t="s">
        <v>416</v>
      </c>
      <c r="B193" t="s">
        <v>11</v>
      </c>
      <c r="C193" s="1">
        <v>46156</v>
      </c>
      <c r="D193" s="2" t="s">
        <v>12</v>
      </c>
      <c r="E193" t="s">
        <v>415</v>
      </c>
      <c r="F193" t="s">
        <v>12</v>
      </c>
      <c r="G193">
        <v>27</v>
      </c>
      <c r="H193" t="s">
        <v>37</v>
      </c>
      <c r="I193" t="s">
        <v>12</v>
      </c>
      <c r="K193" t="s">
        <v>466</v>
      </c>
      <c r="L193" s="1">
        <v>46168</v>
      </c>
    </row>
    <row r="194" spans="1:12" x14ac:dyDescent="0.3">
      <c r="A194" s="3" t="s">
        <v>417</v>
      </c>
      <c r="B194" t="s">
        <v>11</v>
      </c>
      <c r="C194" s="1">
        <v>46156</v>
      </c>
      <c r="D194" s="2" t="s">
        <v>12</v>
      </c>
      <c r="E194" t="s">
        <v>415</v>
      </c>
      <c r="F194" t="s">
        <v>12</v>
      </c>
      <c r="G194">
        <v>27</v>
      </c>
      <c r="H194" t="s">
        <v>37</v>
      </c>
      <c r="I194" t="s">
        <v>12</v>
      </c>
      <c r="K194" t="s">
        <v>466</v>
      </c>
      <c r="L194" s="1">
        <v>46168</v>
      </c>
    </row>
    <row r="195" spans="1:12" x14ac:dyDescent="0.3">
      <c r="A195" s="3" t="s">
        <v>418</v>
      </c>
      <c r="B195" t="s">
        <v>11</v>
      </c>
      <c r="C195" s="1">
        <v>46156</v>
      </c>
      <c r="D195" s="2" t="s">
        <v>12</v>
      </c>
      <c r="E195" t="s">
        <v>415</v>
      </c>
      <c r="F195">
        <v>9.1</v>
      </c>
      <c r="G195">
        <v>27</v>
      </c>
      <c r="H195" t="s">
        <v>14</v>
      </c>
      <c r="I195" t="s">
        <v>12</v>
      </c>
      <c r="J195" t="s">
        <v>487</v>
      </c>
    </row>
    <row r="196" spans="1:12" x14ac:dyDescent="0.3">
      <c r="A196" s="3" t="s">
        <v>419</v>
      </c>
      <c r="B196" t="s">
        <v>11</v>
      </c>
      <c r="C196" s="1">
        <v>46156</v>
      </c>
      <c r="D196" s="2" t="s">
        <v>12</v>
      </c>
      <c r="E196" t="s">
        <v>415</v>
      </c>
      <c r="F196">
        <v>9.1</v>
      </c>
      <c r="G196">
        <v>27</v>
      </c>
      <c r="H196" t="s">
        <v>14</v>
      </c>
      <c r="I196" t="s">
        <v>12</v>
      </c>
      <c r="K196" t="s">
        <v>473</v>
      </c>
      <c r="L196" s="1">
        <v>46168</v>
      </c>
    </row>
    <row r="197" spans="1:12" x14ac:dyDescent="0.3">
      <c r="A197" s="3" t="s">
        <v>420</v>
      </c>
      <c r="B197" t="s">
        <v>11</v>
      </c>
      <c r="C197" s="1">
        <v>46156</v>
      </c>
      <c r="D197" s="2" t="s">
        <v>12</v>
      </c>
      <c r="E197" t="s">
        <v>415</v>
      </c>
      <c r="F197" t="s">
        <v>12</v>
      </c>
      <c r="G197">
        <v>27</v>
      </c>
      <c r="H197" t="s">
        <v>37</v>
      </c>
      <c r="I197" t="s">
        <v>12</v>
      </c>
      <c r="K197" t="s">
        <v>473</v>
      </c>
      <c r="L197" s="1">
        <v>46168</v>
      </c>
    </row>
    <row r="198" spans="1:12" x14ac:dyDescent="0.3">
      <c r="A198" s="3" t="s">
        <v>421</v>
      </c>
      <c r="B198" t="s">
        <v>11</v>
      </c>
      <c r="C198" s="1">
        <v>46156</v>
      </c>
      <c r="D198" s="2" t="s">
        <v>12</v>
      </c>
      <c r="E198" t="s">
        <v>415</v>
      </c>
      <c r="F198" t="s">
        <v>12</v>
      </c>
      <c r="G198">
        <v>27</v>
      </c>
      <c r="H198" t="s">
        <v>37</v>
      </c>
      <c r="I198" t="s">
        <v>12</v>
      </c>
      <c r="K198" t="s">
        <v>466</v>
      </c>
      <c r="L198" s="1">
        <v>46168</v>
      </c>
    </row>
    <row r="199" spans="1:12" x14ac:dyDescent="0.3">
      <c r="A199" s="3" t="s">
        <v>422</v>
      </c>
      <c r="B199" t="s">
        <v>11</v>
      </c>
      <c r="C199" s="1">
        <v>46156</v>
      </c>
      <c r="D199" s="2" t="s">
        <v>12</v>
      </c>
      <c r="E199" t="s">
        <v>415</v>
      </c>
      <c r="F199">
        <v>8.8000000000000007</v>
      </c>
      <c r="G199">
        <v>27</v>
      </c>
      <c r="H199" t="s">
        <v>14</v>
      </c>
      <c r="I199" t="s">
        <v>12</v>
      </c>
      <c r="K199" t="s">
        <v>473</v>
      </c>
      <c r="L199" s="1">
        <v>46168</v>
      </c>
    </row>
    <row r="200" spans="1:12" x14ac:dyDescent="0.3">
      <c r="A200" s="3" t="s">
        <v>423</v>
      </c>
      <c r="B200" t="s">
        <v>11</v>
      </c>
      <c r="C200" s="1">
        <v>46156</v>
      </c>
      <c r="D200" s="2" t="s">
        <v>12</v>
      </c>
      <c r="E200" t="s">
        <v>415</v>
      </c>
      <c r="F200">
        <v>9</v>
      </c>
      <c r="G200">
        <v>27</v>
      </c>
      <c r="H200" t="s">
        <v>14</v>
      </c>
      <c r="I200" t="s">
        <v>12</v>
      </c>
      <c r="K200" t="s">
        <v>473</v>
      </c>
      <c r="L200" s="1">
        <v>46168</v>
      </c>
    </row>
    <row r="201" spans="1:12" x14ac:dyDescent="0.3">
      <c r="A201" s="3" t="s">
        <v>424</v>
      </c>
      <c r="B201" t="s">
        <v>11</v>
      </c>
      <c r="C201" s="1">
        <v>46156</v>
      </c>
      <c r="D201" s="2" t="s">
        <v>12</v>
      </c>
      <c r="E201" t="s">
        <v>415</v>
      </c>
      <c r="F201" t="s">
        <v>12</v>
      </c>
      <c r="G201">
        <v>27</v>
      </c>
      <c r="H201" t="s">
        <v>37</v>
      </c>
      <c r="I201" t="s">
        <v>12</v>
      </c>
      <c r="K201" t="s">
        <v>473</v>
      </c>
      <c r="L201" s="1">
        <v>46168</v>
      </c>
    </row>
    <row r="202" spans="1:12" x14ac:dyDescent="0.3">
      <c r="A202" s="3" t="s">
        <v>425</v>
      </c>
      <c r="B202" t="s">
        <v>11</v>
      </c>
      <c r="C202" s="1">
        <v>46156</v>
      </c>
      <c r="D202" s="2" t="s">
        <v>12</v>
      </c>
      <c r="E202" t="s">
        <v>415</v>
      </c>
      <c r="F202">
        <v>9</v>
      </c>
      <c r="G202">
        <v>27</v>
      </c>
      <c r="H202" t="s">
        <v>14</v>
      </c>
      <c r="I202" t="s">
        <v>12</v>
      </c>
      <c r="K202" t="s">
        <v>466</v>
      </c>
      <c r="L202" s="1">
        <v>46168</v>
      </c>
    </row>
    <row r="203" spans="1:12" x14ac:dyDescent="0.3">
      <c r="A203" s="3" t="s">
        <v>426</v>
      </c>
      <c r="B203" t="s">
        <v>11</v>
      </c>
      <c r="C203" s="1">
        <v>46156</v>
      </c>
      <c r="D203" s="2" t="s">
        <v>12</v>
      </c>
      <c r="E203" t="s">
        <v>415</v>
      </c>
      <c r="F203">
        <v>9</v>
      </c>
      <c r="G203">
        <v>27</v>
      </c>
      <c r="H203" t="s">
        <v>14</v>
      </c>
      <c r="I203" t="s">
        <v>12</v>
      </c>
      <c r="K203" t="s">
        <v>473</v>
      </c>
      <c r="L203" s="1">
        <v>46168</v>
      </c>
    </row>
    <row r="204" spans="1:12" x14ac:dyDescent="0.3">
      <c r="A204" s="3" t="s">
        <v>427</v>
      </c>
      <c r="B204" t="s">
        <v>11</v>
      </c>
      <c r="C204" s="1">
        <v>46156</v>
      </c>
      <c r="D204" s="2" t="s">
        <v>12</v>
      </c>
      <c r="E204" t="s">
        <v>415</v>
      </c>
      <c r="F204" t="s">
        <v>12</v>
      </c>
      <c r="G204">
        <v>27</v>
      </c>
      <c r="H204" t="s">
        <v>37</v>
      </c>
      <c r="I204" t="s">
        <v>12</v>
      </c>
      <c r="K204" t="s">
        <v>473</v>
      </c>
      <c r="L204" s="1">
        <v>46168</v>
      </c>
    </row>
    <row r="205" spans="1:12" x14ac:dyDescent="0.3">
      <c r="A205" s="3" t="s">
        <v>428</v>
      </c>
      <c r="B205" t="s">
        <v>11</v>
      </c>
      <c r="C205" s="1">
        <v>46156</v>
      </c>
      <c r="D205" s="2" t="s">
        <v>12</v>
      </c>
      <c r="E205" t="s">
        <v>415</v>
      </c>
      <c r="F205">
        <v>9.1</v>
      </c>
      <c r="G205">
        <v>27</v>
      </c>
      <c r="H205" t="s">
        <v>14</v>
      </c>
      <c r="I205" t="s">
        <v>12</v>
      </c>
      <c r="K205" t="s">
        <v>486</v>
      </c>
      <c r="L205" s="1">
        <v>46168</v>
      </c>
    </row>
    <row r="206" spans="1:12" x14ac:dyDescent="0.3">
      <c r="A206" s="3" t="s">
        <v>429</v>
      </c>
      <c r="B206" t="s">
        <v>11</v>
      </c>
      <c r="C206" s="1">
        <v>46156</v>
      </c>
      <c r="D206" s="2" t="s">
        <v>12</v>
      </c>
      <c r="E206" t="s">
        <v>415</v>
      </c>
      <c r="F206" t="s">
        <v>12</v>
      </c>
      <c r="G206">
        <v>27</v>
      </c>
      <c r="H206" t="s">
        <v>37</v>
      </c>
      <c r="I206" t="s">
        <v>12</v>
      </c>
      <c r="K206" t="s">
        <v>473</v>
      </c>
      <c r="L206" s="1">
        <v>46168</v>
      </c>
    </row>
    <row r="207" spans="1:12" x14ac:dyDescent="0.3">
      <c r="A207" s="3" t="s">
        <v>430</v>
      </c>
      <c r="B207" t="s">
        <v>11</v>
      </c>
      <c r="C207" s="1">
        <v>46156</v>
      </c>
      <c r="D207" s="2" t="s">
        <v>12</v>
      </c>
      <c r="E207" t="s">
        <v>415</v>
      </c>
      <c r="F207" t="s">
        <v>12</v>
      </c>
      <c r="G207">
        <v>27</v>
      </c>
      <c r="H207" t="s">
        <v>37</v>
      </c>
      <c r="I207" t="s">
        <v>12</v>
      </c>
      <c r="K207" t="s">
        <v>466</v>
      </c>
      <c r="L207" s="1">
        <v>46168</v>
      </c>
    </row>
    <row r="208" spans="1:12" x14ac:dyDescent="0.3">
      <c r="A208" s="3" t="s">
        <v>431</v>
      </c>
      <c r="B208" t="s">
        <v>11</v>
      </c>
      <c r="C208" s="1">
        <v>46156</v>
      </c>
      <c r="D208" s="2" t="s">
        <v>12</v>
      </c>
      <c r="E208" t="s">
        <v>415</v>
      </c>
      <c r="F208" t="s">
        <v>12</v>
      </c>
      <c r="G208">
        <v>27</v>
      </c>
      <c r="H208" t="s">
        <v>37</v>
      </c>
      <c r="I208" t="s">
        <v>12</v>
      </c>
      <c r="K208" t="s">
        <v>473</v>
      </c>
      <c r="L208" s="1">
        <v>46168</v>
      </c>
    </row>
    <row r="209" spans="1:12" x14ac:dyDescent="0.3">
      <c r="A209" s="3" t="s">
        <v>432</v>
      </c>
      <c r="B209" t="s">
        <v>11</v>
      </c>
      <c r="C209" s="1">
        <v>46156</v>
      </c>
      <c r="D209" s="2" t="s">
        <v>12</v>
      </c>
      <c r="E209" t="s">
        <v>415</v>
      </c>
      <c r="F209">
        <v>9.1</v>
      </c>
      <c r="G209">
        <v>27</v>
      </c>
      <c r="H209" t="s">
        <v>14</v>
      </c>
      <c r="I209" t="s">
        <v>12</v>
      </c>
      <c r="K209" t="s">
        <v>473</v>
      </c>
      <c r="L209" s="1">
        <v>46168</v>
      </c>
    </row>
    <row r="210" spans="1:12" x14ac:dyDescent="0.3">
      <c r="A210" s="3" t="s">
        <v>433</v>
      </c>
      <c r="B210" t="s">
        <v>11</v>
      </c>
      <c r="C210" s="1">
        <v>46156</v>
      </c>
      <c r="D210" s="2" t="s">
        <v>12</v>
      </c>
      <c r="E210" t="s">
        <v>415</v>
      </c>
      <c r="F210" t="s">
        <v>12</v>
      </c>
      <c r="G210">
        <v>27</v>
      </c>
      <c r="H210" t="s">
        <v>37</v>
      </c>
      <c r="I210" t="s">
        <v>12</v>
      </c>
      <c r="K210" t="s">
        <v>466</v>
      </c>
      <c r="L210" s="1">
        <v>46168</v>
      </c>
    </row>
    <row r="211" spans="1:12" x14ac:dyDescent="0.3">
      <c r="A211" s="3" t="s">
        <v>434</v>
      </c>
      <c r="B211" t="s">
        <v>11</v>
      </c>
      <c r="C211" s="1">
        <v>46156</v>
      </c>
      <c r="D211" s="2" t="s">
        <v>12</v>
      </c>
      <c r="E211" t="s">
        <v>415</v>
      </c>
      <c r="F211" t="s">
        <v>12</v>
      </c>
      <c r="G211">
        <v>27</v>
      </c>
      <c r="H211" t="s">
        <v>37</v>
      </c>
      <c r="I211" t="s">
        <v>12</v>
      </c>
      <c r="K211" t="s">
        <v>466</v>
      </c>
      <c r="L211" s="1">
        <v>46168</v>
      </c>
    </row>
    <row r="212" spans="1:12" x14ac:dyDescent="0.3">
      <c r="A212" s="3" t="s">
        <v>435</v>
      </c>
      <c r="B212" t="s">
        <v>11</v>
      </c>
      <c r="C212" s="1">
        <v>46156</v>
      </c>
      <c r="D212" s="2" t="s">
        <v>12</v>
      </c>
      <c r="E212" t="s">
        <v>415</v>
      </c>
      <c r="F212" t="s">
        <v>12</v>
      </c>
      <c r="G212">
        <v>27</v>
      </c>
      <c r="H212" t="s">
        <v>37</v>
      </c>
      <c r="I212" t="s">
        <v>12</v>
      </c>
      <c r="K212" t="s">
        <v>473</v>
      </c>
      <c r="L212" s="1">
        <v>46168</v>
      </c>
    </row>
    <row r="213" spans="1:12" x14ac:dyDescent="0.3">
      <c r="A213" s="3" t="s">
        <v>436</v>
      </c>
      <c r="B213" t="s">
        <v>11</v>
      </c>
      <c r="C213" s="1">
        <v>46156</v>
      </c>
      <c r="D213" s="2" t="s">
        <v>12</v>
      </c>
      <c r="E213" t="s">
        <v>415</v>
      </c>
      <c r="F213">
        <v>9.1</v>
      </c>
      <c r="G213">
        <v>27</v>
      </c>
      <c r="H213" t="s">
        <v>14</v>
      </c>
      <c r="I213" t="s">
        <v>12</v>
      </c>
      <c r="K213" t="s">
        <v>466</v>
      </c>
      <c r="L213" s="1">
        <v>46168</v>
      </c>
    </row>
    <row r="214" spans="1:12" x14ac:dyDescent="0.3">
      <c r="A214" s="3" t="s">
        <v>437</v>
      </c>
      <c r="B214" t="s">
        <v>11</v>
      </c>
      <c r="C214" s="1">
        <v>46156</v>
      </c>
      <c r="D214" s="2" t="s">
        <v>12</v>
      </c>
      <c r="E214" t="s">
        <v>415</v>
      </c>
      <c r="F214">
        <v>9.1</v>
      </c>
      <c r="G214">
        <v>27</v>
      </c>
      <c r="H214" t="s">
        <v>14</v>
      </c>
      <c r="I214" t="s">
        <v>12</v>
      </c>
      <c r="J214" t="s">
        <v>487</v>
      </c>
    </row>
    <row r="215" spans="1:12" x14ac:dyDescent="0.3">
      <c r="A215" s="3" t="s">
        <v>438</v>
      </c>
      <c r="B215" t="s">
        <v>11</v>
      </c>
      <c r="C215" s="1">
        <v>46156</v>
      </c>
      <c r="D215" s="2" t="s">
        <v>12</v>
      </c>
      <c r="E215" t="s">
        <v>415</v>
      </c>
      <c r="F215">
        <v>9</v>
      </c>
      <c r="G215">
        <v>27</v>
      </c>
      <c r="H215" t="s">
        <v>14</v>
      </c>
      <c r="I215" t="s">
        <v>12</v>
      </c>
      <c r="K215" t="s">
        <v>473</v>
      </c>
      <c r="L215" s="1">
        <v>46168</v>
      </c>
    </row>
    <row r="216" spans="1:12" x14ac:dyDescent="0.3">
      <c r="A216" s="3" t="s">
        <v>439</v>
      </c>
      <c r="B216" t="s">
        <v>11</v>
      </c>
      <c r="C216" s="1">
        <v>46156</v>
      </c>
      <c r="D216" s="2" t="s">
        <v>12</v>
      </c>
      <c r="E216" t="s">
        <v>415</v>
      </c>
      <c r="F216">
        <v>9.1</v>
      </c>
      <c r="G216">
        <v>27</v>
      </c>
      <c r="H216" t="s">
        <v>14</v>
      </c>
      <c r="I216" t="s">
        <v>12</v>
      </c>
      <c r="J216" t="s">
        <v>487</v>
      </c>
    </row>
    <row r="217" spans="1:12" x14ac:dyDescent="0.3">
      <c r="A217" s="3" t="s">
        <v>440</v>
      </c>
      <c r="B217" t="s">
        <v>11</v>
      </c>
      <c r="C217" s="1">
        <v>46156</v>
      </c>
      <c r="D217" s="2" t="s">
        <v>12</v>
      </c>
      <c r="E217" t="s">
        <v>415</v>
      </c>
      <c r="F217">
        <v>9.1</v>
      </c>
      <c r="G217">
        <v>27</v>
      </c>
      <c r="H217" t="s">
        <v>37</v>
      </c>
      <c r="I217" t="s">
        <v>12</v>
      </c>
      <c r="K217" t="s">
        <v>473</v>
      </c>
      <c r="L217" s="1">
        <v>46168</v>
      </c>
    </row>
    <row r="218" spans="1:12" x14ac:dyDescent="0.3">
      <c r="A218" s="3" t="s">
        <v>458</v>
      </c>
      <c r="B218" t="s">
        <v>11</v>
      </c>
      <c r="C218" s="1">
        <v>46156</v>
      </c>
      <c r="D218" s="2" t="s">
        <v>12</v>
      </c>
      <c r="E218" t="s">
        <v>415</v>
      </c>
      <c r="F218" t="s">
        <v>12</v>
      </c>
      <c r="G218">
        <v>27</v>
      </c>
      <c r="H218" t="s">
        <v>37</v>
      </c>
      <c r="I218" t="s">
        <v>12</v>
      </c>
      <c r="K218" t="s">
        <v>466</v>
      </c>
      <c r="L218" s="1">
        <v>46168</v>
      </c>
    </row>
    <row r="219" spans="1:12" x14ac:dyDescent="0.3">
      <c r="A219" s="3" t="s">
        <v>459</v>
      </c>
      <c r="B219" t="s">
        <v>11</v>
      </c>
      <c r="C219" s="1">
        <v>46156</v>
      </c>
      <c r="D219" s="2" t="s">
        <v>12</v>
      </c>
      <c r="E219" t="s">
        <v>415</v>
      </c>
      <c r="F219" t="s">
        <v>12</v>
      </c>
      <c r="G219">
        <v>27</v>
      </c>
      <c r="H219" t="s">
        <v>37</v>
      </c>
      <c r="I219" t="s">
        <v>12</v>
      </c>
      <c r="K219" t="s">
        <v>473</v>
      </c>
      <c r="L219" s="1">
        <v>46168</v>
      </c>
    </row>
    <row r="220" spans="1:12" x14ac:dyDescent="0.3">
      <c r="A220" s="3" t="s">
        <v>460</v>
      </c>
      <c r="B220" t="s">
        <v>11</v>
      </c>
      <c r="C220" s="1">
        <v>46156</v>
      </c>
      <c r="D220" s="2" t="s">
        <v>12</v>
      </c>
      <c r="E220" t="s">
        <v>415</v>
      </c>
      <c r="F220" t="s">
        <v>12</v>
      </c>
      <c r="G220">
        <v>27</v>
      </c>
      <c r="H220" t="s">
        <v>37</v>
      </c>
      <c r="I220" t="s">
        <v>12</v>
      </c>
      <c r="K220" t="s">
        <v>466</v>
      </c>
      <c r="L220" s="1">
        <v>46168</v>
      </c>
    </row>
    <row r="221" spans="1:12" x14ac:dyDescent="0.3">
      <c r="A221" s="3" t="s">
        <v>488</v>
      </c>
      <c r="B221" t="s">
        <v>11</v>
      </c>
      <c r="C221" s="1">
        <v>46156</v>
      </c>
      <c r="D221" s="2" t="s">
        <v>12</v>
      </c>
      <c r="E221" t="s">
        <v>390</v>
      </c>
      <c r="F221" t="s">
        <v>12</v>
      </c>
      <c r="G221">
        <v>27</v>
      </c>
      <c r="H221" t="s">
        <v>14</v>
      </c>
      <c r="I221" t="s">
        <v>12</v>
      </c>
      <c r="K221" t="s">
        <v>466</v>
      </c>
      <c r="L221" s="1">
        <v>46168</v>
      </c>
    </row>
    <row r="222" spans="1:12" x14ac:dyDescent="0.3">
      <c r="A222" s="3" t="s">
        <v>489</v>
      </c>
      <c r="B222" t="s">
        <v>443</v>
      </c>
      <c r="C222" s="1">
        <v>46156</v>
      </c>
      <c r="D222" s="2" t="s">
        <v>12</v>
      </c>
      <c r="E222" t="s">
        <v>390</v>
      </c>
      <c r="F222" t="s">
        <v>12</v>
      </c>
      <c r="G222">
        <v>27</v>
      </c>
      <c r="H222" t="s">
        <v>37</v>
      </c>
      <c r="I222" t="s">
        <v>12</v>
      </c>
      <c r="K222" t="s">
        <v>466</v>
      </c>
      <c r="L222" s="1">
        <v>46168</v>
      </c>
    </row>
    <row r="223" spans="1:12" x14ac:dyDescent="0.3">
      <c r="A223" s="3" t="s">
        <v>490</v>
      </c>
      <c r="B223" t="s">
        <v>11</v>
      </c>
      <c r="C223" s="1">
        <v>46156</v>
      </c>
      <c r="D223" s="2" t="s">
        <v>12</v>
      </c>
      <c r="E223" t="s">
        <v>390</v>
      </c>
      <c r="F223" t="s">
        <v>12</v>
      </c>
      <c r="G223">
        <v>27</v>
      </c>
      <c r="H223" t="s">
        <v>37</v>
      </c>
      <c r="I223" t="s">
        <v>12</v>
      </c>
      <c r="K223" t="s">
        <v>466</v>
      </c>
      <c r="L223" s="1">
        <v>46168</v>
      </c>
    </row>
    <row r="224" spans="1:12" x14ac:dyDescent="0.3">
      <c r="A224" s="3" t="s">
        <v>491</v>
      </c>
      <c r="B224" t="s">
        <v>11</v>
      </c>
      <c r="C224" s="1">
        <v>46156</v>
      </c>
      <c r="D224" s="2" t="s">
        <v>12</v>
      </c>
      <c r="E224" t="s">
        <v>390</v>
      </c>
      <c r="F224">
        <v>9.5</v>
      </c>
      <c r="G224">
        <v>27</v>
      </c>
      <c r="H224" t="s">
        <v>14</v>
      </c>
      <c r="I224" t="s">
        <v>12</v>
      </c>
      <c r="K224" t="s">
        <v>466</v>
      </c>
      <c r="L224" s="1">
        <v>46168</v>
      </c>
    </row>
    <row r="225" spans="1:16" x14ac:dyDescent="0.3">
      <c r="A225" s="3" t="s">
        <v>492</v>
      </c>
      <c r="B225" t="s">
        <v>11</v>
      </c>
      <c r="C225" s="1">
        <v>46156</v>
      </c>
      <c r="D225" s="2" t="s">
        <v>12</v>
      </c>
      <c r="E225" t="s">
        <v>390</v>
      </c>
      <c r="G225">
        <v>27</v>
      </c>
      <c r="I225" t="s">
        <v>12</v>
      </c>
      <c r="K225" t="s">
        <v>466</v>
      </c>
      <c r="L225" s="1">
        <v>46168</v>
      </c>
    </row>
    <row r="226" spans="1:16" x14ac:dyDescent="0.3">
      <c r="A226" s="3" t="s">
        <v>493</v>
      </c>
      <c r="B226" t="s">
        <v>11</v>
      </c>
      <c r="C226" s="1">
        <v>46156</v>
      </c>
      <c r="D226" s="2" t="s">
        <v>12</v>
      </c>
      <c r="E226" t="s">
        <v>390</v>
      </c>
      <c r="F226">
        <v>9.5</v>
      </c>
      <c r="G226">
        <v>27</v>
      </c>
      <c r="H226" t="s">
        <v>14</v>
      </c>
      <c r="I226" t="s">
        <v>12</v>
      </c>
      <c r="K226" t="s">
        <v>473</v>
      </c>
      <c r="L226" s="1">
        <v>46168</v>
      </c>
    </row>
    <row r="227" spans="1:16" x14ac:dyDescent="0.3">
      <c r="A227" s="3" t="s">
        <v>494</v>
      </c>
      <c r="B227" t="s">
        <v>11</v>
      </c>
      <c r="C227" s="1">
        <v>46156</v>
      </c>
      <c r="D227" s="2" t="s">
        <v>12</v>
      </c>
      <c r="E227" t="s">
        <v>390</v>
      </c>
      <c r="F227" t="s">
        <v>12</v>
      </c>
      <c r="G227">
        <v>27</v>
      </c>
      <c r="H227" t="s">
        <v>14</v>
      </c>
      <c r="I227" t="s">
        <v>12</v>
      </c>
      <c r="K227" t="s">
        <v>473</v>
      </c>
      <c r="L227" s="1">
        <v>46168</v>
      </c>
    </row>
    <row r="228" spans="1:16" x14ac:dyDescent="0.3">
      <c r="A228" s="3" t="s">
        <v>495</v>
      </c>
      <c r="B228" t="s">
        <v>11</v>
      </c>
      <c r="C228" s="1">
        <v>46156</v>
      </c>
      <c r="D228" s="2" t="s">
        <v>12</v>
      </c>
      <c r="E228" t="s">
        <v>390</v>
      </c>
      <c r="F228">
        <v>9.5</v>
      </c>
      <c r="G228">
        <v>27</v>
      </c>
      <c r="H228" t="s">
        <v>14</v>
      </c>
      <c r="I228" t="s">
        <v>12</v>
      </c>
      <c r="K228" t="s">
        <v>473</v>
      </c>
      <c r="L228" s="1">
        <v>46168</v>
      </c>
    </row>
    <row r="229" spans="1:16" x14ac:dyDescent="0.3">
      <c r="A229" s="3" t="s">
        <v>391</v>
      </c>
      <c r="B229" t="s">
        <v>11</v>
      </c>
      <c r="C229" s="1">
        <v>46156</v>
      </c>
      <c r="D229" s="2" t="s">
        <v>12</v>
      </c>
      <c r="E229" t="s">
        <v>390</v>
      </c>
      <c r="F229">
        <v>9.5</v>
      </c>
      <c r="G229">
        <v>27</v>
      </c>
      <c r="H229" t="s">
        <v>14</v>
      </c>
      <c r="I229" t="s">
        <v>12</v>
      </c>
      <c r="J229" t="s">
        <v>487</v>
      </c>
    </row>
    <row r="230" spans="1:16" x14ac:dyDescent="0.3">
      <c r="A230" s="3" t="s">
        <v>392</v>
      </c>
      <c r="B230" t="s">
        <v>11</v>
      </c>
      <c r="C230" s="1">
        <v>46156</v>
      </c>
      <c r="D230" s="2" t="s">
        <v>12</v>
      </c>
      <c r="E230" t="s">
        <v>390</v>
      </c>
      <c r="F230" t="s">
        <v>12</v>
      </c>
      <c r="G230">
        <v>27</v>
      </c>
      <c r="H230" t="s">
        <v>14</v>
      </c>
      <c r="I230" t="s">
        <v>12</v>
      </c>
      <c r="K230" t="s">
        <v>473</v>
      </c>
      <c r="L230" s="1">
        <v>46168</v>
      </c>
    </row>
    <row r="231" spans="1:16" x14ac:dyDescent="0.3">
      <c r="A231" s="3" t="s">
        <v>393</v>
      </c>
      <c r="B231" t="s">
        <v>11</v>
      </c>
      <c r="C231" s="1">
        <v>46156</v>
      </c>
      <c r="D231" s="2" t="s">
        <v>12</v>
      </c>
      <c r="E231" t="s">
        <v>390</v>
      </c>
      <c r="F231" t="s">
        <v>12</v>
      </c>
      <c r="G231">
        <v>27</v>
      </c>
      <c r="H231" t="s">
        <v>37</v>
      </c>
      <c r="I231" t="s">
        <v>12</v>
      </c>
      <c r="K231" t="s">
        <v>466</v>
      </c>
      <c r="L231" s="1">
        <v>46168</v>
      </c>
      <c r="P231" t="s">
        <v>502</v>
      </c>
    </row>
    <row r="232" spans="1:16" x14ac:dyDescent="0.3">
      <c r="A232" s="3" t="s">
        <v>393</v>
      </c>
      <c r="B232" t="s">
        <v>11</v>
      </c>
      <c r="C232" s="1">
        <v>46156</v>
      </c>
      <c r="D232" s="2" t="s">
        <v>12</v>
      </c>
      <c r="E232" t="s">
        <v>390</v>
      </c>
      <c r="F232" t="s">
        <v>12</v>
      </c>
      <c r="G232">
        <v>27</v>
      </c>
      <c r="H232" t="s">
        <v>37</v>
      </c>
      <c r="I232" t="s">
        <v>12</v>
      </c>
      <c r="K232" t="s">
        <v>466</v>
      </c>
      <c r="L232" s="1">
        <v>46168</v>
      </c>
      <c r="P232" t="s">
        <v>502</v>
      </c>
    </row>
    <row r="233" spans="1:16" x14ac:dyDescent="0.3">
      <c r="A233" s="3" t="s">
        <v>394</v>
      </c>
      <c r="B233" t="s">
        <v>11</v>
      </c>
      <c r="C233" s="1">
        <v>46156</v>
      </c>
      <c r="D233" s="2" t="s">
        <v>12</v>
      </c>
      <c r="E233" t="s">
        <v>390</v>
      </c>
      <c r="F233" t="s">
        <v>12</v>
      </c>
      <c r="G233">
        <v>27</v>
      </c>
      <c r="H233" t="s">
        <v>14</v>
      </c>
      <c r="I233" t="s">
        <v>12</v>
      </c>
      <c r="K233" t="s">
        <v>473</v>
      </c>
      <c r="L233" s="1">
        <v>46168</v>
      </c>
    </row>
    <row r="234" spans="1:16" x14ac:dyDescent="0.3">
      <c r="A234" s="3" t="s">
        <v>395</v>
      </c>
      <c r="B234" t="s">
        <v>11</v>
      </c>
      <c r="C234" s="1">
        <v>46156</v>
      </c>
      <c r="D234" s="2" t="s">
        <v>12</v>
      </c>
      <c r="E234" t="s">
        <v>390</v>
      </c>
      <c r="F234" t="s">
        <v>12</v>
      </c>
      <c r="G234">
        <v>27</v>
      </c>
      <c r="H234" t="s">
        <v>14</v>
      </c>
      <c r="I234" t="s">
        <v>12</v>
      </c>
      <c r="K234" t="s">
        <v>473</v>
      </c>
      <c r="L234" s="1">
        <v>46168</v>
      </c>
    </row>
    <row r="235" spans="1:16" x14ac:dyDescent="0.3">
      <c r="A235" s="3" t="s">
        <v>396</v>
      </c>
      <c r="B235" t="s">
        <v>11</v>
      </c>
      <c r="C235" s="1">
        <v>46156</v>
      </c>
      <c r="D235" s="2" t="s">
        <v>12</v>
      </c>
      <c r="E235" t="s">
        <v>390</v>
      </c>
      <c r="F235" t="s">
        <v>12</v>
      </c>
      <c r="G235">
        <v>27</v>
      </c>
      <c r="H235" t="s">
        <v>14</v>
      </c>
      <c r="I235" t="s">
        <v>12</v>
      </c>
      <c r="J235" t="s">
        <v>487</v>
      </c>
    </row>
    <row r="236" spans="1:16" x14ac:dyDescent="0.3">
      <c r="A236" s="3" t="s">
        <v>397</v>
      </c>
      <c r="B236" t="s">
        <v>11</v>
      </c>
      <c r="C236" s="1">
        <v>46156</v>
      </c>
      <c r="D236" s="2" t="s">
        <v>12</v>
      </c>
      <c r="E236" t="s">
        <v>390</v>
      </c>
      <c r="F236" t="s">
        <v>12</v>
      </c>
      <c r="G236">
        <v>27</v>
      </c>
      <c r="H236" t="s">
        <v>14</v>
      </c>
      <c r="I236" t="s">
        <v>12</v>
      </c>
      <c r="K236" t="s">
        <v>473</v>
      </c>
      <c r="L236" s="1">
        <v>46168</v>
      </c>
    </row>
    <row r="237" spans="1:16" x14ac:dyDescent="0.3">
      <c r="A237" s="3" t="s">
        <v>398</v>
      </c>
      <c r="B237" t="s">
        <v>11</v>
      </c>
      <c r="C237" s="1">
        <v>46156</v>
      </c>
      <c r="D237" s="2" t="s">
        <v>12</v>
      </c>
      <c r="E237" t="s">
        <v>390</v>
      </c>
      <c r="F237" t="s">
        <v>12</v>
      </c>
      <c r="G237">
        <v>27</v>
      </c>
      <c r="H237" t="s">
        <v>37</v>
      </c>
      <c r="I237" t="s">
        <v>12</v>
      </c>
      <c r="K237" t="s">
        <v>466</v>
      </c>
      <c r="L237" s="1">
        <v>46168</v>
      </c>
    </row>
    <row r="238" spans="1:16" x14ac:dyDescent="0.3">
      <c r="A238" s="3" t="s">
        <v>399</v>
      </c>
      <c r="B238" t="s">
        <v>11</v>
      </c>
      <c r="C238" s="1">
        <v>46156</v>
      </c>
      <c r="D238" s="2" t="s">
        <v>12</v>
      </c>
      <c r="E238" t="s">
        <v>390</v>
      </c>
      <c r="F238" t="s">
        <v>12</v>
      </c>
      <c r="G238">
        <v>27</v>
      </c>
      <c r="H238" t="s">
        <v>37</v>
      </c>
      <c r="I238" t="s">
        <v>12</v>
      </c>
      <c r="K238" t="s">
        <v>473</v>
      </c>
      <c r="L238" s="1">
        <v>46168</v>
      </c>
    </row>
    <row r="239" spans="1:16" x14ac:dyDescent="0.3">
      <c r="A239" s="3" t="s">
        <v>400</v>
      </c>
      <c r="B239" t="s">
        <v>11</v>
      </c>
      <c r="C239" s="1">
        <v>46156</v>
      </c>
      <c r="D239" s="2" t="s">
        <v>12</v>
      </c>
      <c r="E239" t="s">
        <v>390</v>
      </c>
      <c r="F239" t="s">
        <v>12</v>
      </c>
      <c r="G239">
        <v>27</v>
      </c>
      <c r="H239" t="s">
        <v>37</v>
      </c>
      <c r="I239" t="s">
        <v>12</v>
      </c>
      <c r="K239" t="s">
        <v>466</v>
      </c>
      <c r="L239" s="1">
        <v>46168</v>
      </c>
    </row>
    <row r="240" spans="1:16" x14ac:dyDescent="0.3">
      <c r="A240" s="3" t="s">
        <v>401</v>
      </c>
      <c r="B240" t="s">
        <v>11</v>
      </c>
      <c r="C240" s="1">
        <v>46156</v>
      </c>
      <c r="D240" s="2" t="s">
        <v>12</v>
      </c>
      <c r="E240" t="s">
        <v>390</v>
      </c>
      <c r="F240" t="s">
        <v>12</v>
      </c>
      <c r="G240">
        <v>27</v>
      </c>
      <c r="H240" t="s">
        <v>37</v>
      </c>
      <c r="I240" t="s">
        <v>12</v>
      </c>
      <c r="K240" t="s">
        <v>466</v>
      </c>
      <c r="L240" s="1">
        <v>46168</v>
      </c>
    </row>
    <row r="241" spans="1:12" x14ac:dyDescent="0.3">
      <c r="A241" s="3" t="s">
        <v>402</v>
      </c>
      <c r="B241" t="s">
        <v>11</v>
      </c>
      <c r="C241" s="1">
        <v>46156</v>
      </c>
      <c r="D241" s="2" t="s">
        <v>12</v>
      </c>
      <c r="E241" t="s">
        <v>390</v>
      </c>
      <c r="F241" t="s">
        <v>12</v>
      </c>
      <c r="G241">
        <v>27</v>
      </c>
      <c r="H241" t="s">
        <v>37</v>
      </c>
      <c r="I241" t="s">
        <v>12</v>
      </c>
      <c r="K241" t="s">
        <v>466</v>
      </c>
      <c r="L241" s="1">
        <v>46168</v>
      </c>
    </row>
    <row r="242" spans="1:12" x14ac:dyDescent="0.3">
      <c r="A242" s="3" t="s">
        <v>403</v>
      </c>
      <c r="B242" t="s">
        <v>11</v>
      </c>
      <c r="C242" s="1">
        <v>46156</v>
      </c>
      <c r="D242" s="2" t="s">
        <v>12</v>
      </c>
      <c r="E242" t="s">
        <v>390</v>
      </c>
      <c r="F242" t="s">
        <v>12</v>
      </c>
      <c r="G242">
        <v>27</v>
      </c>
      <c r="H242" t="s">
        <v>37</v>
      </c>
      <c r="I242" t="s">
        <v>12</v>
      </c>
      <c r="K242" t="s">
        <v>473</v>
      </c>
      <c r="L242" s="1">
        <v>46168</v>
      </c>
    </row>
    <row r="243" spans="1:12" x14ac:dyDescent="0.3">
      <c r="A243" s="3" t="s">
        <v>404</v>
      </c>
      <c r="B243" t="s">
        <v>11</v>
      </c>
      <c r="C243" s="1">
        <v>46156</v>
      </c>
      <c r="D243" s="2" t="s">
        <v>12</v>
      </c>
      <c r="E243" t="s">
        <v>390</v>
      </c>
      <c r="F243" t="s">
        <v>12</v>
      </c>
      <c r="G243">
        <v>27</v>
      </c>
      <c r="H243" t="s">
        <v>37</v>
      </c>
      <c r="I243" t="s">
        <v>12</v>
      </c>
      <c r="K243" t="s">
        <v>473</v>
      </c>
      <c r="L243" s="1">
        <v>46168</v>
      </c>
    </row>
    <row r="244" spans="1:12" x14ac:dyDescent="0.3">
      <c r="A244" s="3" t="s">
        <v>405</v>
      </c>
      <c r="B244" t="s">
        <v>11</v>
      </c>
      <c r="C244" s="1">
        <v>46156</v>
      </c>
      <c r="D244" s="2" t="s">
        <v>12</v>
      </c>
      <c r="E244" t="s">
        <v>390</v>
      </c>
      <c r="F244" t="s">
        <v>12</v>
      </c>
      <c r="G244">
        <v>27</v>
      </c>
      <c r="H244" t="s">
        <v>37</v>
      </c>
      <c r="I244" t="s">
        <v>12</v>
      </c>
      <c r="K244" t="s">
        <v>473</v>
      </c>
      <c r="L244" s="1">
        <v>46168</v>
      </c>
    </row>
    <row r="245" spans="1:12" x14ac:dyDescent="0.3">
      <c r="A245" s="3" t="s">
        <v>406</v>
      </c>
      <c r="B245" t="s">
        <v>11</v>
      </c>
      <c r="C245" s="1">
        <v>46156</v>
      </c>
      <c r="D245" s="2" t="s">
        <v>12</v>
      </c>
      <c r="E245" t="s">
        <v>390</v>
      </c>
      <c r="F245" t="s">
        <v>12</v>
      </c>
      <c r="G245">
        <v>27</v>
      </c>
      <c r="H245" t="s">
        <v>37</v>
      </c>
      <c r="I245" t="s">
        <v>12</v>
      </c>
      <c r="K245" t="s">
        <v>473</v>
      </c>
      <c r="L245" s="1">
        <v>46168</v>
      </c>
    </row>
    <row r="246" spans="1:12" x14ac:dyDescent="0.3">
      <c r="A246" s="3" t="s">
        <v>407</v>
      </c>
      <c r="B246" t="s">
        <v>11</v>
      </c>
      <c r="C246" s="1">
        <v>46156</v>
      </c>
      <c r="D246" s="2" t="s">
        <v>12</v>
      </c>
      <c r="E246" t="s">
        <v>390</v>
      </c>
      <c r="F246" t="s">
        <v>12</v>
      </c>
      <c r="G246">
        <v>27</v>
      </c>
      <c r="H246" t="s">
        <v>37</v>
      </c>
      <c r="I246" t="s">
        <v>12</v>
      </c>
      <c r="K246" t="s">
        <v>473</v>
      </c>
      <c r="L246" s="1">
        <v>46168</v>
      </c>
    </row>
    <row r="247" spans="1:12" x14ac:dyDescent="0.3">
      <c r="A247" s="3" t="s">
        <v>408</v>
      </c>
      <c r="B247" t="s">
        <v>443</v>
      </c>
      <c r="C247" s="1">
        <v>46156</v>
      </c>
      <c r="D247" s="2" t="s">
        <v>12</v>
      </c>
      <c r="E247" t="s">
        <v>390</v>
      </c>
      <c r="F247" t="s">
        <v>12</v>
      </c>
      <c r="G247">
        <v>27</v>
      </c>
      <c r="H247" t="s">
        <v>37</v>
      </c>
      <c r="I247" t="s">
        <v>12</v>
      </c>
      <c r="K247" t="s">
        <v>466</v>
      </c>
      <c r="L247" s="1">
        <v>46168</v>
      </c>
    </row>
    <row r="248" spans="1:12" x14ac:dyDescent="0.3">
      <c r="A248" s="3" t="s">
        <v>409</v>
      </c>
      <c r="B248" t="s">
        <v>11</v>
      </c>
      <c r="C248" s="1">
        <v>46156</v>
      </c>
      <c r="D248" s="2" t="s">
        <v>12</v>
      </c>
      <c r="E248" t="s">
        <v>390</v>
      </c>
      <c r="F248">
        <v>9.4</v>
      </c>
      <c r="G248">
        <v>27</v>
      </c>
      <c r="H248" t="s">
        <v>14</v>
      </c>
      <c r="I248" t="s">
        <v>12</v>
      </c>
      <c r="K248" t="s">
        <v>473</v>
      </c>
      <c r="L248" s="1">
        <v>46168</v>
      </c>
    </row>
    <row r="249" spans="1:12" x14ac:dyDescent="0.3">
      <c r="A249" s="3" t="s">
        <v>410</v>
      </c>
      <c r="B249" t="s">
        <v>11</v>
      </c>
      <c r="C249" s="1">
        <v>46156</v>
      </c>
      <c r="D249" s="2" t="s">
        <v>12</v>
      </c>
      <c r="E249" t="s">
        <v>390</v>
      </c>
      <c r="F249" t="s">
        <v>12</v>
      </c>
      <c r="G249">
        <v>27</v>
      </c>
      <c r="H249" t="s">
        <v>14</v>
      </c>
      <c r="I249" t="s">
        <v>12</v>
      </c>
      <c r="K249" t="s">
        <v>473</v>
      </c>
      <c r="L249" s="1">
        <v>46168</v>
      </c>
    </row>
    <row r="250" spans="1:12" x14ac:dyDescent="0.3">
      <c r="A250" s="3" t="s">
        <v>411</v>
      </c>
      <c r="B250" t="s">
        <v>11</v>
      </c>
      <c r="C250" s="1">
        <v>46156</v>
      </c>
      <c r="D250" s="2" t="s">
        <v>12</v>
      </c>
      <c r="E250" t="s">
        <v>390</v>
      </c>
      <c r="G250">
        <v>27</v>
      </c>
      <c r="H250" t="s">
        <v>37</v>
      </c>
      <c r="I250" t="s">
        <v>12</v>
      </c>
      <c r="K250" t="s">
        <v>473</v>
      </c>
      <c r="L250" s="1">
        <v>46168</v>
      </c>
    </row>
    <row r="251" spans="1:12" x14ac:dyDescent="0.3">
      <c r="A251" s="3" t="s">
        <v>412</v>
      </c>
      <c r="B251" t="s">
        <v>11</v>
      </c>
      <c r="C251" s="1">
        <v>46156</v>
      </c>
      <c r="D251" s="2" t="s">
        <v>12</v>
      </c>
      <c r="E251" t="s">
        <v>390</v>
      </c>
      <c r="F251" t="s">
        <v>12</v>
      </c>
      <c r="G251">
        <v>27</v>
      </c>
      <c r="H251" t="s">
        <v>14</v>
      </c>
      <c r="I251" t="s">
        <v>12</v>
      </c>
      <c r="K251" t="s">
        <v>473</v>
      </c>
      <c r="L251" s="1">
        <v>46168</v>
      </c>
    </row>
    <row r="252" spans="1:12" x14ac:dyDescent="0.3">
      <c r="A252" s="3" t="s">
        <v>413</v>
      </c>
      <c r="B252" t="s">
        <v>11</v>
      </c>
      <c r="C252" s="1">
        <v>46156</v>
      </c>
      <c r="D252" s="2" t="s">
        <v>12</v>
      </c>
      <c r="E252" t="s">
        <v>390</v>
      </c>
      <c r="F252">
        <v>9.6</v>
      </c>
      <c r="G252">
        <v>27</v>
      </c>
      <c r="H252" t="s">
        <v>14</v>
      </c>
      <c r="I252" t="s">
        <v>12</v>
      </c>
      <c r="J252" t="s">
        <v>487</v>
      </c>
    </row>
    <row r="253" spans="1:12" x14ac:dyDescent="0.3">
      <c r="A253" t="s">
        <v>414</v>
      </c>
      <c r="B253" t="s">
        <v>11</v>
      </c>
      <c r="C253" s="1">
        <v>46156</v>
      </c>
      <c r="D253" s="2" t="s">
        <v>12</v>
      </c>
      <c r="E253" t="s">
        <v>390</v>
      </c>
      <c r="F253" t="s">
        <v>12</v>
      </c>
      <c r="G253">
        <v>27</v>
      </c>
      <c r="H253" t="s">
        <v>14</v>
      </c>
      <c r="I253" t="s">
        <v>12</v>
      </c>
      <c r="K253" t="s">
        <v>473</v>
      </c>
      <c r="L253" s="1">
        <v>46168</v>
      </c>
    </row>
    <row r="254" spans="1:12" x14ac:dyDescent="0.3">
      <c r="A254" t="s">
        <v>496</v>
      </c>
      <c r="B254" t="s">
        <v>11</v>
      </c>
      <c r="C254" s="1">
        <v>46156</v>
      </c>
      <c r="D254" s="2" t="s">
        <v>12</v>
      </c>
      <c r="E254" t="s">
        <v>377</v>
      </c>
      <c r="F254" t="s">
        <v>12</v>
      </c>
      <c r="G254">
        <v>28</v>
      </c>
      <c r="H254" t="s">
        <v>37</v>
      </c>
      <c r="I254" t="s">
        <v>12</v>
      </c>
      <c r="K254" t="s">
        <v>466</v>
      </c>
      <c r="L254" s="1">
        <v>46168</v>
      </c>
    </row>
    <row r="255" spans="1:12" x14ac:dyDescent="0.3">
      <c r="A255" t="s">
        <v>497</v>
      </c>
      <c r="B255" t="s">
        <v>11</v>
      </c>
      <c r="C255" s="1">
        <v>46156</v>
      </c>
      <c r="D255" s="2" t="s">
        <v>12</v>
      </c>
      <c r="E255" t="s">
        <v>377</v>
      </c>
      <c r="F255" t="s">
        <v>12</v>
      </c>
      <c r="G255">
        <v>28</v>
      </c>
      <c r="H255" t="s">
        <v>37</v>
      </c>
      <c r="I255" t="s">
        <v>12</v>
      </c>
      <c r="K255" t="s">
        <v>473</v>
      </c>
      <c r="L255" s="1">
        <v>46168</v>
      </c>
    </row>
    <row r="256" spans="1:12" x14ac:dyDescent="0.3">
      <c r="A256" t="s">
        <v>503</v>
      </c>
      <c r="B256" t="s">
        <v>11</v>
      </c>
      <c r="C256" s="1">
        <v>46156</v>
      </c>
      <c r="D256" s="2" t="s">
        <v>12</v>
      </c>
      <c r="E256" t="s">
        <v>377</v>
      </c>
      <c r="F256" t="s">
        <v>12</v>
      </c>
      <c r="G256">
        <v>28</v>
      </c>
      <c r="H256" t="s">
        <v>37</v>
      </c>
      <c r="I256" t="s">
        <v>12</v>
      </c>
      <c r="K256" t="s">
        <v>466</v>
      </c>
      <c r="L256" s="1">
        <v>46168</v>
      </c>
    </row>
    <row r="257" spans="1:12" x14ac:dyDescent="0.3">
      <c r="A257" t="s">
        <v>504</v>
      </c>
      <c r="B257" t="s">
        <v>11</v>
      </c>
      <c r="C257" s="1">
        <v>46156</v>
      </c>
      <c r="D257" s="2" t="s">
        <v>12</v>
      </c>
      <c r="E257" t="s">
        <v>377</v>
      </c>
      <c r="F257" t="s">
        <v>12</v>
      </c>
      <c r="G257">
        <v>28</v>
      </c>
      <c r="H257" t="s">
        <v>37</v>
      </c>
      <c r="I257" t="s">
        <v>12</v>
      </c>
      <c r="K257" t="s">
        <v>473</v>
      </c>
      <c r="L257" s="1">
        <v>46168</v>
      </c>
    </row>
    <row r="258" spans="1:12" x14ac:dyDescent="0.3">
      <c r="A258" t="s">
        <v>505</v>
      </c>
      <c r="B258" t="s">
        <v>11</v>
      </c>
      <c r="C258" s="1">
        <v>46156</v>
      </c>
      <c r="D258" s="2" t="s">
        <v>12</v>
      </c>
      <c r="E258" t="s">
        <v>377</v>
      </c>
      <c r="F258">
        <v>7.4</v>
      </c>
      <c r="G258">
        <v>28</v>
      </c>
      <c r="H258" t="s">
        <v>14</v>
      </c>
      <c r="I258" t="s">
        <v>12</v>
      </c>
      <c r="K258" t="s">
        <v>473</v>
      </c>
      <c r="L258" s="1">
        <v>46168</v>
      </c>
    </row>
    <row r="259" spans="1:12" x14ac:dyDescent="0.3">
      <c r="A259" t="s">
        <v>506</v>
      </c>
      <c r="B259" t="s">
        <v>11</v>
      </c>
      <c r="C259" s="1">
        <v>46156</v>
      </c>
      <c r="D259" s="2" t="s">
        <v>12</v>
      </c>
      <c r="E259" t="s">
        <v>377</v>
      </c>
      <c r="F259" t="s">
        <v>12</v>
      </c>
      <c r="G259">
        <v>28</v>
      </c>
      <c r="H259" t="s">
        <v>37</v>
      </c>
      <c r="I259" t="s">
        <v>12</v>
      </c>
      <c r="K259" t="s">
        <v>473</v>
      </c>
      <c r="L259" s="1">
        <v>46168</v>
      </c>
    </row>
    <row r="260" spans="1:12" x14ac:dyDescent="0.3">
      <c r="A260" t="s">
        <v>378</v>
      </c>
      <c r="B260" t="s">
        <v>11</v>
      </c>
      <c r="C260" s="1">
        <v>46156</v>
      </c>
      <c r="D260" s="2" t="s">
        <v>12</v>
      </c>
      <c r="E260" t="s">
        <v>377</v>
      </c>
      <c r="F260" t="s">
        <v>12</v>
      </c>
      <c r="G260">
        <v>28</v>
      </c>
      <c r="H260" t="s">
        <v>37</v>
      </c>
      <c r="I260" t="s">
        <v>12</v>
      </c>
      <c r="K260" t="s">
        <v>466</v>
      </c>
      <c r="L260" s="1">
        <v>46168</v>
      </c>
    </row>
    <row r="261" spans="1:12" x14ac:dyDescent="0.3">
      <c r="A261" t="s">
        <v>379</v>
      </c>
      <c r="B261" t="s">
        <v>11</v>
      </c>
      <c r="C261" s="1">
        <v>46156</v>
      </c>
      <c r="D261" s="2" t="s">
        <v>12</v>
      </c>
      <c r="E261" t="s">
        <v>377</v>
      </c>
      <c r="F261" t="s">
        <v>12</v>
      </c>
      <c r="G261">
        <v>28</v>
      </c>
      <c r="H261" t="s">
        <v>37</v>
      </c>
      <c r="I261" t="s">
        <v>12</v>
      </c>
      <c r="K261" t="s">
        <v>466</v>
      </c>
      <c r="L261" s="1">
        <v>46168</v>
      </c>
    </row>
    <row r="262" spans="1:12" x14ac:dyDescent="0.3">
      <c r="A262" t="s">
        <v>380</v>
      </c>
      <c r="B262" t="s">
        <v>11</v>
      </c>
      <c r="C262" s="1">
        <v>46156</v>
      </c>
      <c r="D262" s="2" t="s">
        <v>12</v>
      </c>
      <c r="E262" t="s">
        <v>377</v>
      </c>
      <c r="F262" t="s">
        <v>12</v>
      </c>
      <c r="G262">
        <v>28</v>
      </c>
      <c r="H262" t="s">
        <v>37</v>
      </c>
      <c r="I262" t="s">
        <v>12</v>
      </c>
      <c r="K262" t="s">
        <v>473</v>
      </c>
      <c r="L262" s="1">
        <v>46168</v>
      </c>
    </row>
    <row r="263" spans="1:12" x14ac:dyDescent="0.3">
      <c r="A263" t="s">
        <v>381</v>
      </c>
      <c r="B263" t="s">
        <v>11</v>
      </c>
      <c r="C263" s="1">
        <v>46156</v>
      </c>
      <c r="D263" s="2" t="s">
        <v>12</v>
      </c>
      <c r="E263" t="s">
        <v>377</v>
      </c>
      <c r="F263">
        <v>7.9</v>
      </c>
      <c r="G263">
        <v>28</v>
      </c>
      <c r="H263" t="s">
        <v>14</v>
      </c>
      <c r="I263" t="s">
        <v>12</v>
      </c>
      <c r="K263" t="s">
        <v>473</v>
      </c>
      <c r="L263" s="1">
        <v>46168</v>
      </c>
    </row>
    <row r="264" spans="1:12" x14ac:dyDescent="0.3">
      <c r="A264" t="s">
        <v>382</v>
      </c>
      <c r="B264" t="s">
        <v>11</v>
      </c>
      <c r="C264" s="1">
        <v>46156</v>
      </c>
      <c r="D264" s="2" t="s">
        <v>12</v>
      </c>
      <c r="E264" t="s">
        <v>377</v>
      </c>
      <c r="F264">
        <v>8</v>
      </c>
      <c r="G264">
        <v>28</v>
      </c>
      <c r="H264" t="s">
        <v>14</v>
      </c>
      <c r="I264" t="s">
        <v>12</v>
      </c>
      <c r="K264" t="s">
        <v>466</v>
      </c>
      <c r="L264" s="1">
        <v>46168</v>
      </c>
    </row>
    <row r="265" spans="1:12" x14ac:dyDescent="0.3">
      <c r="A265" t="s">
        <v>383</v>
      </c>
      <c r="B265" t="s">
        <v>11</v>
      </c>
      <c r="C265" s="1">
        <v>46156</v>
      </c>
      <c r="D265" s="2" t="s">
        <v>12</v>
      </c>
      <c r="E265" t="s">
        <v>377</v>
      </c>
      <c r="F265">
        <v>8</v>
      </c>
      <c r="G265">
        <v>28</v>
      </c>
      <c r="H265" t="s">
        <v>14</v>
      </c>
      <c r="I265" t="s">
        <v>12</v>
      </c>
      <c r="J265" t="s">
        <v>487</v>
      </c>
      <c r="K265" t="s">
        <v>507</v>
      </c>
    </row>
    <row r="266" spans="1:12" x14ac:dyDescent="0.3">
      <c r="A266" t="s">
        <v>384</v>
      </c>
      <c r="B266" t="s">
        <v>11</v>
      </c>
      <c r="C266" s="1">
        <v>46156</v>
      </c>
      <c r="D266" s="2" t="s">
        <v>12</v>
      </c>
      <c r="E266" t="s">
        <v>377</v>
      </c>
      <c r="F266">
        <v>7.8</v>
      </c>
      <c r="G266">
        <v>28</v>
      </c>
      <c r="H266" t="s">
        <v>14</v>
      </c>
      <c r="I266" t="s">
        <v>12</v>
      </c>
      <c r="J266" t="s">
        <v>487</v>
      </c>
      <c r="K266" t="s">
        <v>507</v>
      </c>
    </row>
    <row r="267" spans="1:12" x14ac:dyDescent="0.3">
      <c r="A267" t="s">
        <v>385</v>
      </c>
      <c r="B267" t="s">
        <v>11</v>
      </c>
      <c r="C267" s="1">
        <v>46156</v>
      </c>
      <c r="D267" s="2" t="s">
        <v>12</v>
      </c>
      <c r="E267" t="s">
        <v>377</v>
      </c>
      <c r="F267">
        <v>7.8</v>
      </c>
      <c r="G267">
        <v>28</v>
      </c>
      <c r="H267" t="s">
        <v>14</v>
      </c>
      <c r="I267" t="s">
        <v>12</v>
      </c>
      <c r="K267" t="s">
        <v>473</v>
      </c>
      <c r="L267" s="1">
        <v>46168</v>
      </c>
    </row>
    <row r="268" spans="1:12" x14ac:dyDescent="0.3">
      <c r="A268" t="s">
        <v>386</v>
      </c>
      <c r="B268" t="s">
        <v>443</v>
      </c>
      <c r="C268" s="1">
        <v>46156</v>
      </c>
      <c r="D268" s="2" t="s">
        <v>12</v>
      </c>
      <c r="E268" t="s">
        <v>377</v>
      </c>
      <c r="F268" t="s">
        <v>12</v>
      </c>
      <c r="G268">
        <v>28</v>
      </c>
      <c r="H268" t="s">
        <v>37</v>
      </c>
      <c r="I268" t="s">
        <v>12</v>
      </c>
      <c r="K268" t="s">
        <v>508</v>
      </c>
      <c r="L268" s="1">
        <v>46168</v>
      </c>
    </row>
    <row r="269" spans="1:12" x14ac:dyDescent="0.3">
      <c r="A269" t="s">
        <v>387</v>
      </c>
      <c r="B269" t="s">
        <v>443</v>
      </c>
      <c r="C269" s="1">
        <v>46156</v>
      </c>
      <c r="D269" s="2" t="s">
        <v>12</v>
      </c>
      <c r="E269" t="s">
        <v>377</v>
      </c>
      <c r="F269" t="s">
        <v>12</v>
      </c>
      <c r="G269">
        <v>28</v>
      </c>
      <c r="H269" t="s">
        <v>37</v>
      </c>
      <c r="I269" t="s">
        <v>12</v>
      </c>
      <c r="K269" t="s">
        <v>466</v>
      </c>
      <c r="L269" s="1">
        <v>46168</v>
      </c>
    </row>
    <row r="270" spans="1:12" x14ac:dyDescent="0.3">
      <c r="A270" t="s">
        <v>388</v>
      </c>
      <c r="B270" t="s">
        <v>443</v>
      </c>
      <c r="C270" s="1">
        <v>46156</v>
      </c>
      <c r="D270" s="2" t="s">
        <v>12</v>
      </c>
      <c r="E270" t="s">
        <v>377</v>
      </c>
      <c r="F270" t="s">
        <v>12</v>
      </c>
      <c r="G270">
        <v>28</v>
      </c>
      <c r="H270" t="s">
        <v>37</v>
      </c>
      <c r="I270" t="s">
        <v>12</v>
      </c>
      <c r="K270" t="s">
        <v>466</v>
      </c>
      <c r="L270" s="1">
        <v>46168</v>
      </c>
    </row>
    <row r="271" spans="1:12" x14ac:dyDescent="0.3">
      <c r="A271" t="s">
        <v>389</v>
      </c>
      <c r="B271" t="s">
        <v>11</v>
      </c>
      <c r="C271" s="1">
        <v>46156</v>
      </c>
      <c r="D271" s="2" t="s">
        <v>12</v>
      </c>
      <c r="E271" t="s">
        <v>377</v>
      </c>
      <c r="F271">
        <v>8</v>
      </c>
      <c r="G271">
        <v>28</v>
      </c>
      <c r="H271" t="s">
        <v>14</v>
      </c>
      <c r="I271" t="s">
        <v>12</v>
      </c>
      <c r="J271" t="s">
        <v>487</v>
      </c>
      <c r="K271" t="s">
        <v>507</v>
      </c>
    </row>
    <row r="272" spans="1:12" x14ac:dyDescent="0.3">
      <c r="A272" t="s">
        <v>461</v>
      </c>
      <c r="B272" t="s">
        <v>11</v>
      </c>
      <c r="C272" s="1">
        <v>46156</v>
      </c>
      <c r="D272" s="2" t="s">
        <v>12</v>
      </c>
      <c r="E272" t="s">
        <v>377</v>
      </c>
      <c r="F272" t="s">
        <v>12</v>
      </c>
      <c r="G272">
        <v>28</v>
      </c>
      <c r="H272" t="s">
        <v>37</v>
      </c>
      <c r="I272" t="s">
        <v>12</v>
      </c>
      <c r="K272" t="s">
        <v>466</v>
      </c>
      <c r="L272" s="1">
        <v>46168</v>
      </c>
    </row>
    <row r="273" spans="1:12" x14ac:dyDescent="0.3">
      <c r="A273" t="s">
        <v>449</v>
      </c>
      <c r="B273" t="s">
        <v>11</v>
      </c>
      <c r="C273" s="1">
        <v>46162</v>
      </c>
      <c r="D273" s="2" t="s">
        <v>12</v>
      </c>
      <c r="E273" t="s">
        <v>289</v>
      </c>
      <c r="F273">
        <v>7.7</v>
      </c>
      <c r="G273">
        <v>28</v>
      </c>
      <c r="H273" t="s">
        <v>14</v>
      </c>
      <c r="I273" t="s">
        <v>12</v>
      </c>
      <c r="K273" t="s">
        <v>473</v>
      </c>
      <c r="L273" s="1">
        <v>46168</v>
      </c>
    </row>
    <row r="274" spans="1:12" x14ac:dyDescent="0.3">
      <c r="A274" s="4" t="s">
        <v>450</v>
      </c>
      <c r="B274" t="s">
        <v>11</v>
      </c>
      <c r="C274" s="1">
        <v>46162</v>
      </c>
      <c r="D274" s="2" t="s">
        <v>12</v>
      </c>
      <c r="E274" t="s">
        <v>289</v>
      </c>
      <c r="G274">
        <v>28</v>
      </c>
      <c r="I274" t="s">
        <v>12</v>
      </c>
      <c r="K274" t="s">
        <v>473</v>
      </c>
      <c r="L274" s="1">
        <v>46168</v>
      </c>
    </row>
    <row r="275" spans="1:12" x14ac:dyDescent="0.3">
      <c r="A275" t="s">
        <v>451</v>
      </c>
      <c r="B275" t="s">
        <v>11</v>
      </c>
      <c r="C275" s="1">
        <v>46162</v>
      </c>
      <c r="D275" s="2" t="s">
        <v>12</v>
      </c>
      <c r="E275" t="s">
        <v>289</v>
      </c>
      <c r="F275">
        <v>7.8</v>
      </c>
      <c r="G275">
        <v>28</v>
      </c>
      <c r="H275" t="s">
        <v>14</v>
      </c>
      <c r="I275" t="s">
        <v>12</v>
      </c>
      <c r="K275" t="s">
        <v>473</v>
      </c>
      <c r="L275" s="1">
        <v>46168</v>
      </c>
    </row>
    <row r="276" spans="1:12" x14ac:dyDescent="0.3">
      <c r="A276" s="4" t="s">
        <v>452</v>
      </c>
      <c r="B276" t="s">
        <v>11</v>
      </c>
      <c r="C276" s="1">
        <v>46162</v>
      </c>
      <c r="D276" s="2" t="s">
        <v>12</v>
      </c>
      <c r="E276" t="s">
        <v>289</v>
      </c>
      <c r="F276">
        <v>7.9</v>
      </c>
      <c r="G276">
        <v>28</v>
      </c>
      <c r="H276" t="s">
        <v>14</v>
      </c>
      <c r="I276" t="s">
        <v>12</v>
      </c>
      <c r="K276" t="s">
        <v>473</v>
      </c>
      <c r="L276" s="1">
        <v>46168</v>
      </c>
    </row>
    <row r="277" spans="1:12" x14ac:dyDescent="0.3">
      <c r="A277" t="s">
        <v>453</v>
      </c>
      <c r="B277" t="s">
        <v>11</v>
      </c>
      <c r="C277" s="1">
        <v>46162</v>
      </c>
      <c r="D277" s="2" t="s">
        <v>12</v>
      </c>
      <c r="E277" t="s">
        <v>289</v>
      </c>
      <c r="F277">
        <v>8</v>
      </c>
      <c r="G277">
        <v>28</v>
      </c>
      <c r="H277" t="s">
        <v>14</v>
      </c>
      <c r="I277" t="s">
        <v>12</v>
      </c>
      <c r="K277" t="s">
        <v>473</v>
      </c>
      <c r="L277" s="1">
        <v>46168</v>
      </c>
    </row>
    <row r="278" spans="1:12" x14ac:dyDescent="0.3">
      <c r="A278" s="4" t="s">
        <v>454</v>
      </c>
      <c r="B278" t="s">
        <v>11</v>
      </c>
      <c r="C278" s="1">
        <v>46162</v>
      </c>
      <c r="D278" s="2" t="s">
        <v>12</v>
      </c>
      <c r="E278" t="s">
        <v>289</v>
      </c>
      <c r="F278">
        <v>7.9</v>
      </c>
      <c r="G278">
        <v>28</v>
      </c>
      <c r="H278" t="s">
        <v>14</v>
      </c>
      <c r="I278" t="s">
        <v>12</v>
      </c>
      <c r="K278" t="s">
        <v>473</v>
      </c>
      <c r="L278" s="1">
        <v>46168</v>
      </c>
    </row>
    <row r="279" spans="1:12" x14ac:dyDescent="0.3">
      <c r="A279" t="s">
        <v>455</v>
      </c>
      <c r="B279" t="s">
        <v>11</v>
      </c>
      <c r="C279" s="1">
        <v>46162</v>
      </c>
      <c r="D279" s="2" t="s">
        <v>12</v>
      </c>
      <c r="E279" t="s">
        <v>289</v>
      </c>
      <c r="F279">
        <v>7.9</v>
      </c>
      <c r="G279">
        <v>28</v>
      </c>
      <c r="H279" t="s">
        <v>14</v>
      </c>
      <c r="I279" t="s">
        <v>12</v>
      </c>
      <c r="K279" t="s">
        <v>473</v>
      </c>
      <c r="L279" s="1">
        <v>46168</v>
      </c>
    </row>
    <row r="280" spans="1:12" x14ac:dyDescent="0.3">
      <c r="A280" s="4" t="s">
        <v>456</v>
      </c>
      <c r="B280" t="s">
        <v>11</v>
      </c>
      <c r="C280" s="1">
        <v>46162</v>
      </c>
      <c r="D280" s="2" t="s">
        <v>12</v>
      </c>
      <c r="E280" t="s">
        <v>289</v>
      </c>
      <c r="F280">
        <v>7.8</v>
      </c>
      <c r="G280">
        <v>28</v>
      </c>
      <c r="H280" t="s">
        <v>14</v>
      </c>
      <c r="I280" t="s">
        <v>12</v>
      </c>
      <c r="K280" t="s">
        <v>473</v>
      </c>
      <c r="L280" s="1">
        <v>46168</v>
      </c>
    </row>
    <row r="281" spans="1:12" x14ac:dyDescent="0.3">
      <c r="A281" t="s">
        <v>457</v>
      </c>
      <c r="B281" t="s">
        <v>11</v>
      </c>
      <c r="C281" s="1">
        <v>46162</v>
      </c>
      <c r="D281" s="2" t="s">
        <v>12</v>
      </c>
      <c r="E281" t="s">
        <v>289</v>
      </c>
      <c r="F281">
        <v>7.9</v>
      </c>
      <c r="G281">
        <v>28</v>
      </c>
      <c r="H281" t="s">
        <v>14</v>
      </c>
      <c r="I281" t="s">
        <v>12</v>
      </c>
      <c r="K281" t="s">
        <v>473</v>
      </c>
      <c r="L281" s="1">
        <v>46168</v>
      </c>
    </row>
    <row r="282" spans="1:12" x14ac:dyDescent="0.3">
      <c r="A282" s="4" t="s">
        <v>290</v>
      </c>
      <c r="B282" t="s">
        <v>11</v>
      </c>
      <c r="C282" s="1">
        <v>46162</v>
      </c>
      <c r="D282" s="2" t="s">
        <v>12</v>
      </c>
      <c r="E282" t="s">
        <v>289</v>
      </c>
      <c r="F282">
        <v>8</v>
      </c>
      <c r="G282">
        <v>28</v>
      </c>
      <c r="H282" t="s">
        <v>14</v>
      </c>
      <c r="I282" t="s">
        <v>12</v>
      </c>
      <c r="K282" t="s">
        <v>473</v>
      </c>
      <c r="L282" s="1">
        <v>46168</v>
      </c>
    </row>
    <row r="283" spans="1:12" x14ac:dyDescent="0.3">
      <c r="A283" s="4" t="s">
        <v>291</v>
      </c>
      <c r="B283" t="s">
        <v>11</v>
      </c>
      <c r="C283" s="1">
        <v>46162</v>
      </c>
      <c r="D283" s="2" t="s">
        <v>12</v>
      </c>
      <c r="E283" t="s">
        <v>289</v>
      </c>
      <c r="F283">
        <v>7.6</v>
      </c>
      <c r="G283">
        <v>28</v>
      </c>
      <c r="H283" t="s">
        <v>14</v>
      </c>
      <c r="I283" t="s">
        <v>12</v>
      </c>
      <c r="K283" t="s">
        <v>473</v>
      </c>
      <c r="L283" s="1">
        <v>46168</v>
      </c>
    </row>
    <row r="284" spans="1:12" x14ac:dyDescent="0.3">
      <c r="A284" t="s">
        <v>292</v>
      </c>
      <c r="B284" t="s">
        <v>11</v>
      </c>
      <c r="C284" s="1">
        <v>46162</v>
      </c>
      <c r="D284" s="2" t="s">
        <v>12</v>
      </c>
      <c r="E284" t="s">
        <v>289</v>
      </c>
      <c r="F284">
        <v>7.9</v>
      </c>
      <c r="G284">
        <v>28</v>
      </c>
      <c r="H284" t="s">
        <v>14</v>
      </c>
      <c r="I284" t="s">
        <v>12</v>
      </c>
      <c r="K284" t="s">
        <v>473</v>
      </c>
      <c r="L284" s="1">
        <v>46168</v>
      </c>
    </row>
    <row r="285" spans="1:12" x14ac:dyDescent="0.3">
      <c r="A285" s="4" t="s">
        <v>293</v>
      </c>
      <c r="B285" t="s">
        <v>11</v>
      </c>
      <c r="C285" s="1">
        <v>46162</v>
      </c>
      <c r="D285" s="2" t="s">
        <v>12</v>
      </c>
      <c r="E285" t="s">
        <v>289</v>
      </c>
      <c r="F285">
        <v>7.6</v>
      </c>
      <c r="G285">
        <v>28</v>
      </c>
      <c r="H285" t="s">
        <v>14</v>
      </c>
      <c r="I285" t="s">
        <v>12</v>
      </c>
      <c r="K285" t="s">
        <v>473</v>
      </c>
      <c r="L285" s="1">
        <v>46168</v>
      </c>
    </row>
    <row r="286" spans="1:12" x14ac:dyDescent="0.3">
      <c r="A286" t="s">
        <v>294</v>
      </c>
      <c r="B286" t="s">
        <v>11</v>
      </c>
      <c r="C286" s="1">
        <v>46162</v>
      </c>
      <c r="D286" s="2" t="s">
        <v>12</v>
      </c>
      <c r="E286" t="s">
        <v>289</v>
      </c>
      <c r="F286">
        <v>7.6</v>
      </c>
      <c r="G286">
        <v>28</v>
      </c>
      <c r="H286" t="s">
        <v>14</v>
      </c>
      <c r="I286" t="s">
        <v>12</v>
      </c>
      <c r="K286" t="s">
        <v>473</v>
      </c>
      <c r="L286" s="1">
        <v>46168</v>
      </c>
    </row>
    <row r="287" spans="1:12" x14ac:dyDescent="0.3">
      <c r="A287" s="4" t="s">
        <v>295</v>
      </c>
      <c r="B287" t="s">
        <v>11</v>
      </c>
      <c r="C287" s="1">
        <v>46162</v>
      </c>
      <c r="D287" s="2" t="s">
        <v>12</v>
      </c>
      <c r="E287" t="s">
        <v>289</v>
      </c>
      <c r="F287">
        <v>7.4</v>
      </c>
      <c r="G287">
        <v>28</v>
      </c>
      <c r="H287" t="s">
        <v>14</v>
      </c>
      <c r="I287" t="s">
        <v>12</v>
      </c>
      <c r="K287" t="s">
        <v>473</v>
      </c>
      <c r="L287" s="1">
        <v>46168</v>
      </c>
    </row>
    <row r="288" spans="1:12" x14ac:dyDescent="0.3">
      <c r="A288" t="s">
        <v>296</v>
      </c>
      <c r="B288" t="s">
        <v>11</v>
      </c>
      <c r="C288" s="1">
        <v>46162</v>
      </c>
      <c r="D288" s="2" t="s">
        <v>12</v>
      </c>
      <c r="E288" t="s">
        <v>289</v>
      </c>
      <c r="F288">
        <v>7.6</v>
      </c>
      <c r="G288">
        <v>28</v>
      </c>
      <c r="H288" t="s">
        <v>14</v>
      </c>
      <c r="I288" t="s">
        <v>12</v>
      </c>
      <c r="K288" t="s">
        <v>473</v>
      </c>
      <c r="L288" s="1">
        <v>46168</v>
      </c>
    </row>
    <row r="289" spans="1:16" x14ac:dyDescent="0.3">
      <c r="A289" s="4" t="s">
        <v>297</v>
      </c>
      <c r="B289" t="s">
        <v>11</v>
      </c>
      <c r="C289" s="1">
        <v>46162</v>
      </c>
      <c r="D289" s="2" t="s">
        <v>12</v>
      </c>
      <c r="E289" t="s">
        <v>289</v>
      </c>
      <c r="F289">
        <v>8</v>
      </c>
      <c r="G289">
        <v>28</v>
      </c>
      <c r="H289" t="s">
        <v>14</v>
      </c>
      <c r="I289" t="s">
        <v>12</v>
      </c>
      <c r="K289" t="s">
        <v>473</v>
      </c>
      <c r="L289" s="1">
        <v>46168</v>
      </c>
    </row>
    <row r="290" spans="1:16" x14ac:dyDescent="0.3">
      <c r="A290" t="s">
        <v>298</v>
      </c>
      <c r="B290" t="s">
        <v>11</v>
      </c>
      <c r="C290" s="1">
        <v>46162</v>
      </c>
      <c r="D290" s="2" t="s">
        <v>12</v>
      </c>
      <c r="E290" t="s">
        <v>289</v>
      </c>
      <c r="F290">
        <v>7.9</v>
      </c>
      <c r="G290">
        <v>28</v>
      </c>
      <c r="H290" t="s">
        <v>299</v>
      </c>
      <c r="I290" t="s">
        <v>12</v>
      </c>
      <c r="K290" t="s">
        <v>466</v>
      </c>
      <c r="L290" s="1">
        <v>46168</v>
      </c>
      <c r="P290" t="s">
        <v>509</v>
      </c>
    </row>
    <row r="291" spans="1:16" x14ac:dyDescent="0.3">
      <c r="A291" s="4" t="s">
        <v>300</v>
      </c>
      <c r="B291" t="s">
        <v>11</v>
      </c>
      <c r="C291" s="1">
        <v>46162</v>
      </c>
      <c r="D291" s="2" t="s">
        <v>12</v>
      </c>
      <c r="E291" t="s">
        <v>289</v>
      </c>
      <c r="F291">
        <v>7.6</v>
      </c>
      <c r="G291">
        <v>28</v>
      </c>
      <c r="H291" t="s">
        <v>299</v>
      </c>
      <c r="I291" t="s">
        <v>12</v>
      </c>
      <c r="K291" t="s">
        <v>466</v>
      </c>
      <c r="L291" s="1">
        <v>46168</v>
      </c>
    </row>
    <row r="292" spans="1:16" x14ac:dyDescent="0.3">
      <c r="A292" t="s">
        <v>301</v>
      </c>
      <c r="B292" t="s">
        <v>11</v>
      </c>
      <c r="C292" s="1">
        <v>46162</v>
      </c>
      <c r="D292" s="2" t="s">
        <v>12</v>
      </c>
      <c r="E292" t="s">
        <v>289</v>
      </c>
      <c r="F292">
        <v>7.7</v>
      </c>
      <c r="G292">
        <v>28</v>
      </c>
      <c r="H292" t="s">
        <v>14</v>
      </c>
      <c r="I292" t="s">
        <v>12</v>
      </c>
      <c r="K292" t="s">
        <v>473</v>
      </c>
      <c r="L292" s="1">
        <v>46168</v>
      </c>
    </row>
    <row r="293" spans="1:16" x14ac:dyDescent="0.3">
      <c r="A293" s="4" t="s">
        <v>302</v>
      </c>
      <c r="B293" t="s">
        <v>11</v>
      </c>
      <c r="C293" s="1">
        <v>46162</v>
      </c>
      <c r="D293" s="2" t="s">
        <v>12</v>
      </c>
      <c r="E293" t="s">
        <v>289</v>
      </c>
      <c r="F293">
        <v>7.3</v>
      </c>
      <c r="G293">
        <v>28</v>
      </c>
      <c r="H293" t="s">
        <v>299</v>
      </c>
      <c r="I293" t="s">
        <v>12</v>
      </c>
      <c r="K293" t="s">
        <v>466</v>
      </c>
      <c r="L293" s="1">
        <v>46168</v>
      </c>
    </row>
    <row r="294" spans="1:16" x14ac:dyDescent="0.3">
      <c r="A294" t="s">
        <v>303</v>
      </c>
      <c r="B294" t="s">
        <v>11</v>
      </c>
      <c r="C294" s="1">
        <v>46162</v>
      </c>
      <c r="D294" s="2" t="s">
        <v>12</v>
      </c>
      <c r="E294" t="s">
        <v>289</v>
      </c>
      <c r="F294">
        <v>7.6</v>
      </c>
      <c r="G294">
        <v>28</v>
      </c>
      <c r="H294" t="s">
        <v>299</v>
      </c>
      <c r="I294" t="s">
        <v>12</v>
      </c>
      <c r="K294" t="s">
        <v>473</v>
      </c>
      <c r="L294" s="1">
        <v>46168</v>
      </c>
    </row>
    <row r="295" spans="1:16" x14ac:dyDescent="0.3">
      <c r="A295" s="4" t="s">
        <v>304</v>
      </c>
      <c r="B295" t="s">
        <v>11</v>
      </c>
      <c r="C295" s="1">
        <v>46162</v>
      </c>
      <c r="D295" s="2" t="s">
        <v>12</v>
      </c>
      <c r="E295" t="s">
        <v>289</v>
      </c>
      <c r="F295">
        <v>7</v>
      </c>
      <c r="G295">
        <v>28</v>
      </c>
      <c r="H295" t="s">
        <v>299</v>
      </c>
      <c r="I295" t="s">
        <v>12</v>
      </c>
      <c r="J295" t="s">
        <v>487</v>
      </c>
    </row>
    <row r="296" spans="1:16" x14ac:dyDescent="0.3">
      <c r="A296" t="s">
        <v>305</v>
      </c>
      <c r="B296" t="s">
        <v>11</v>
      </c>
      <c r="C296" s="1">
        <v>46162</v>
      </c>
      <c r="D296" s="2" t="s">
        <v>12</v>
      </c>
      <c r="E296" t="s">
        <v>289</v>
      </c>
      <c r="F296">
        <v>7.6</v>
      </c>
      <c r="G296">
        <v>28</v>
      </c>
      <c r="H296" t="s">
        <v>299</v>
      </c>
      <c r="I296" t="s">
        <v>12</v>
      </c>
      <c r="K296" t="s">
        <v>473</v>
      </c>
      <c r="L296" s="1">
        <v>46168</v>
      </c>
    </row>
    <row r="297" spans="1:16" x14ac:dyDescent="0.3">
      <c r="A297" s="4" t="s">
        <v>306</v>
      </c>
      <c r="B297" t="s">
        <v>11</v>
      </c>
      <c r="C297" s="1">
        <v>46162</v>
      </c>
      <c r="D297" s="2" t="s">
        <v>12</v>
      </c>
      <c r="E297" t="s">
        <v>289</v>
      </c>
      <c r="F297">
        <v>7.9</v>
      </c>
      <c r="G297">
        <v>28</v>
      </c>
      <c r="H297" t="s">
        <v>299</v>
      </c>
      <c r="I297" t="s">
        <v>12</v>
      </c>
      <c r="K297" t="s">
        <v>473</v>
      </c>
      <c r="L297" s="1">
        <v>46168</v>
      </c>
    </row>
    <row r="298" spans="1:16" x14ac:dyDescent="0.3">
      <c r="A298" s="4" t="s">
        <v>307</v>
      </c>
      <c r="B298" t="s">
        <v>11</v>
      </c>
      <c r="C298" s="1">
        <v>46162</v>
      </c>
      <c r="D298" s="2" t="s">
        <v>12</v>
      </c>
      <c r="E298" t="s">
        <v>289</v>
      </c>
      <c r="F298">
        <v>7.6</v>
      </c>
      <c r="G298">
        <v>28</v>
      </c>
      <c r="H298" t="s">
        <v>299</v>
      </c>
      <c r="I298" t="s">
        <v>12</v>
      </c>
      <c r="K298" t="s">
        <v>473</v>
      </c>
      <c r="L298" s="1">
        <v>46168</v>
      </c>
    </row>
    <row r="299" spans="1:16" x14ac:dyDescent="0.3">
      <c r="A299" t="s">
        <v>308</v>
      </c>
      <c r="B299" t="s">
        <v>11</v>
      </c>
      <c r="C299" s="1">
        <v>46162</v>
      </c>
      <c r="D299" s="2" t="s">
        <v>12</v>
      </c>
      <c r="E299" t="s">
        <v>289</v>
      </c>
      <c r="F299">
        <v>7.3</v>
      </c>
      <c r="G299">
        <v>28</v>
      </c>
      <c r="H299" t="s">
        <v>299</v>
      </c>
      <c r="I299" t="s">
        <v>12</v>
      </c>
      <c r="K299" t="s">
        <v>473</v>
      </c>
      <c r="L299" s="1">
        <v>46168</v>
      </c>
    </row>
    <row r="300" spans="1:16" x14ac:dyDescent="0.3">
      <c r="A300" s="4" t="s">
        <v>309</v>
      </c>
      <c r="B300" t="s">
        <v>11</v>
      </c>
      <c r="C300" s="1">
        <v>46162</v>
      </c>
      <c r="D300" s="2" t="s">
        <v>12</v>
      </c>
      <c r="E300" t="s">
        <v>289</v>
      </c>
      <c r="F300">
        <v>7.9</v>
      </c>
      <c r="G300">
        <v>28</v>
      </c>
      <c r="H300" t="s">
        <v>299</v>
      </c>
      <c r="I300" t="s">
        <v>12</v>
      </c>
      <c r="K300" t="s">
        <v>473</v>
      </c>
      <c r="L300" s="1">
        <v>46168</v>
      </c>
    </row>
    <row r="301" spans="1:16" x14ac:dyDescent="0.3">
      <c r="A301" t="s">
        <v>310</v>
      </c>
      <c r="B301" t="s">
        <v>11</v>
      </c>
      <c r="C301" s="1">
        <v>46162</v>
      </c>
      <c r="D301" s="2" t="s">
        <v>12</v>
      </c>
      <c r="E301" t="s">
        <v>289</v>
      </c>
      <c r="F301">
        <v>7.9</v>
      </c>
      <c r="G301">
        <v>28</v>
      </c>
      <c r="H301" t="s">
        <v>299</v>
      </c>
      <c r="I301" t="s">
        <v>12</v>
      </c>
      <c r="K301" t="s">
        <v>473</v>
      </c>
      <c r="L301" s="1">
        <v>46168</v>
      </c>
    </row>
    <row r="302" spans="1:16" x14ac:dyDescent="0.3">
      <c r="A302" s="4" t="s">
        <v>311</v>
      </c>
      <c r="B302" t="s">
        <v>11</v>
      </c>
      <c r="C302" s="1">
        <v>46162</v>
      </c>
      <c r="D302" s="2" t="s">
        <v>12</v>
      </c>
      <c r="E302" t="s">
        <v>289</v>
      </c>
      <c r="F302">
        <v>7.6</v>
      </c>
      <c r="G302">
        <v>28</v>
      </c>
      <c r="H302" t="s">
        <v>299</v>
      </c>
      <c r="I302" t="s">
        <v>12</v>
      </c>
      <c r="K302" t="s">
        <v>473</v>
      </c>
      <c r="L302" s="1">
        <v>46168</v>
      </c>
    </row>
    <row r="303" spans="1:16" x14ac:dyDescent="0.3">
      <c r="A303" t="s">
        <v>312</v>
      </c>
      <c r="B303" t="s">
        <v>11</v>
      </c>
      <c r="C303" s="1">
        <v>46162</v>
      </c>
      <c r="D303" s="2" t="s">
        <v>12</v>
      </c>
      <c r="E303" t="s">
        <v>289</v>
      </c>
      <c r="F303">
        <v>7.6</v>
      </c>
      <c r="G303">
        <v>28</v>
      </c>
      <c r="H303" t="s">
        <v>299</v>
      </c>
      <c r="I303" t="s">
        <v>12</v>
      </c>
      <c r="K303" t="s">
        <v>473</v>
      </c>
      <c r="L303" s="1">
        <v>46168</v>
      </c>
    </row>
    <row r="304" spans="1:16" x14ac:dyDescent="0.3">
      <c r="A304" s="4" t="s">
        <v>313</v>
      </c>
      <c r="B304" t="s">
        <v>11</v>
      </c>
      <c r="C304" s="1">
        <v>46162</v>
      </c>
      <c r="D304" s="2" t="s">
        <v>12</v>
      </c>
      <c r="E304" t="s">
        <v>289</v>
      </c>
      <c r="F304">
        <v>7.6</v>
      </c>
      <c r="G304">
        <v>28</v>
      </c>
      <c r="H304" t="s">
        <v>299</v>
      </c>
      <c r="I304" t="s">
        <v>12</v>
      </c>
      <c r="J304" t="s">
        <v>487</v>
      </c>
    </row>
    <row r="305" spans="1:12" x14ac:dyDescent="0.3">
      <c r="A305" s="4" t="s">
        <v>314</v>
      </c>
      <c r="B305" t="s">
        <v>11</v>
      </c>
      <c r="C305" s="1">
        <v>46162</v>
      </c>
      <c r="D305" s="2" t="s">
        <v>12</v>
      </c>
      <c r="E305" t="s">
        <v>289</v>
      </c>
      <c r="F305">
        <v>7.9</v>
      </c>
      <c r="G305">
        <v>28</v>
      </c>
      <c r="H305" t="s">
        <v>299</v>
      </c>
      <c r="I305" t="s">
        <v>12</v>
      </c>
      <c r="K305" t="s">
        <v>473</v>
      </c>
      <c r="L305" s="1">
        <v>46168</v>
      </c>
    </row>
    <row r="306" spans="1:12" x14ac:dyDescent="0.3">
      <c r="A306" t="s">
        <v>315</v>
      </c>
      <c r="B306" t="s">
        <v>11</v>
      </c>
      <c r="C306" s="1">
        <v>46162</v>
      </c>
      <c r="D306" s="2" t="s">
        <v>12</v>
      </c>
      <c r="E306" t="s">
        <v>289</v>
      </c>
      <c r="F306">
        <v>7.9</v>
      </c>
      <c r="G306">
        <v>28</v>
      </c>
      <c r="H306" t="s">
        <v>299</v>
      </c>
      <c r="I306" t="s">
        <v>12</v>
      </c>
      <c r="K306" t="s">
        <v>473</v>
      </c>
      <c r="L306" s="1">
        <v>46168</v>
      </c>
    </row>
    <row r="307" spans="1:12" x14ac:dyDescent="0.3">
      <c r="A307" s="4" t="s">
        <v>316</v>
      </c>
      <c r="B307" t="s">
        <v>11</v>
      </c>
      <c r="C307" s="1">
        <v>46162</v>
      </c>
      <c r="D307" s="2" t="s">
        <v>12</v>
      </c>
      <c r="E307" t="s">
        <v>289</v>
      </c>
      <c r="F307">
        <v>7.6</v>
      </c>
      <c r="G307">
        <v>28</v>
      </c>
      <c r="H307" t="s">
        <v>299</v>
      </c>
      <c r="I307" t="s">
        <v>12</v>
      </c>
      <c r="J307" t="s">
        <v>487</v>
      </c>
    </row>
    <row r="308" spans="1:12" x14ac:dyDescent="0.3">
      <c r="A308" s="4" t="s">
        <v>317</v>
      </c>
      <c r="B308" t="s">
        <v>11</v>
      </c>
      <c r="C308" s="1">
        <v>46162</v>
      </c>
      <c r="D308" s="2" t="s">
        <v>12</v>
      </c>
      <c r="E308" t="s">
        <v>289</v>
      </c>
      <c r="F308">
        <v>7.9</v>
      </c>
      <c r="G308">
        <v>28</v>
      </c>
      <c r="H308" t="s">
        <v>299</v>
      </c>
      <c r="I308" t="s">
        <v>12</v>
      </c>
      <c r="K308" t="s">
        <v>473</v>
      </c>
      <c r="L308" s="1">
        <v>46168</v>
      </c>
    </row>
    <row r="309" spans="1:12" x14ac:dyDescent="0.3">
      <c r="A309" s="4" t="s">
        <v>318</v>
      </c>
      <c r="B309" t="s">
        <v>11</v>
      </c>
      <c r="C309" s="1">
        <v>46162</v>
      </c>
      <c r="D309" s="2" t="s">
        <v>12</v>
      </c>
      <c r="E309" t="s">
        <v>289</v>
      </c>
      <c r="F309">
        <v>7.8</v>
      </c>
      <c r="G309">
        <v>28</v>
      </c>
      <c r="H309" t="s">
        <v>14</v>
      </c>
      <c r="I309" t="s">
        <v>12</v>
      </c>
      <c r="K309" t="s">
        <v>473</v>
      </c>
      <c r="L309" s="1">
        <v>46168</v>
      </c>
    </row>
    <row r="310" spans="1:12" x14ac:dyDescent="0.3">
      <c r="A310" t="s">
        <v>510</v>
      </c>
      <c r="B310" t="s">
        <v>11</v>
      </c>
      <c r="C310" s="1">
        <v>46162</v>
      </c>
      <c r="D310" s="2" t="s">
        <v>12</v>
      </c>
      <c r="E310" t="s">
        <v>319</v>
      </c>
      <c r="F310">
        <v>7.3</v>
      </c>
      <c r="G310">
        <v>28</v>
      </c>
      <c r="H310" t="s">
        <v>299</v>
      </c>
      <c r="I310" t="s">
        <v>12</v>
      </c>
      <c r="K310" t="s">
        <v>473</v>
      </c>
      <c r="L310" s="1">
        <v>46168</v>
      </c>
    </row>
    <row r="311" spans="1:12" x14ac:dyDescent="0.3">
      <c r="A311" s="4" t="s">
        <v>511</v>
      </c>
      <c r="B311" t="s">
        <v>11</v>
      </c>
      <c r="C311" s="1">
        <v>46162</v>
      </c>
      <c r="D311" s="2" t="s">
        <v>12</v>
      </c>
      <c r="E311" t="s">
        <v>319</v>
      </c>
      <c r="F311">
        <v>7.2</v>
      </c>
      <c r="G311">
        <v>28</v>
      </c>
      <c r="H311" t="s">
        <v>14</v>
      </c>
      <c r="I311" t="s">
        <v>12</v>
      </c>
      <c r="K311" t="s">
        <v>466</v>
      </c>
      <c r="L311" s="1">
        <v>46168</v>
      </c>
    </row>
    <row r="312" spans="1:12" x14ac:dyDescent="0.3">
      <c r="A312" t="s">
        <v>512</v>
      </c>
      <c r="B312" t="s">
        <v>11</v>
      </c>
      <c r="C312" s="1">
        <v>46162</v>
      </c>
      <c r="D312" s="2" t="s">
        <v>12</v>
      </c>
      <c r="E312" t="s">
        <v>319</v>
      </c>
      <c r="F312">
        <v>8.1999999999999993</v>
      </c>
      <c r="G312">
        <v>28</v>
      </c>
      <c r="H312" t="s">
        <v>299</v>
      </c>
      <c r="I312" t="s">
        <v>12</v>
      </c>
      <c r="K312" t="s">
        <v>473</v>
      </c>
      <c r="L312" s="1">
        <v>46168</v>
      </c>
    </row>
    <row r="313" spans="1:12" x14ac:dyDescent="0.3">
      <c r="A313" s="4" t="s">
        <v>513</v>
      </c>
      <c r="B313" t="s">
        <v>11</v>
      </c>
      <c r="C313" s="1">
        <v>46162</v>
      </c>
      <c r="D313" s="2" t="s">
        <v>12</v>
      </c>
      <c r="E313" t="s">
        <v>319</v>
      </c>
      <c r="F313">
        <v>8.1999999999999993</v>
      </c>
      <c r="G313">
        <v>28</v>
      </c>
      <c r="H313" t="s">
        <v>299</v>
      </c>
      <c r="I313" t="s">
        <v>12</v>
      </c>
      <c r="K313" t="s">
        <v>473</v>
      </c>
      <c r="L313" s="1">
        <v>46168</v>
      </c>
    </row>
    <row r="314" spans="1:12" x14ac:dyDescent="0.3">
      <c r="A314" t="s">
        <v>514</v>
      </c>
      <c r="B314" t="s">
        <v>11</v>
      </c>
      <c r="C314" s="1">
        <v>46162</v>
      </c>
      <c r="D314" s="2" t="s">
        <v>12</v>
      </c>
      <c r="E314" t="s">
        <v>319</v>
      </c>
      <c r="F314">
        <v>7.5</v>
      </c>
      <c r="G314">
        <v>28</v>
      </c>
      <c r="H314" t="s">
        <v>14</v>
      </c>
      <c r="I314" t="s">
        <v>12</v>
      </c>
      <c r="K314" t="s">
        <v>473</v>
      </c>
      <c r="L314" s="1">
        <v>46168</v>
      </c>
    </row>
    <row r="315" spans="1:12" x14ac:dyDescent="0.3">
      <c r="A315" s="4" t="s">
        <v>515</v>
      </c>
      <c r="B315" t="s">
        <v>11</v>
      </c>
      <c r="C315" s="1">
        <v>46162</v>
      </c>
      <c r="D315" s="2" t="s">
        <v>12</v>
      </c>
      <c r="E315" t="s">
        <v>319</v>
      </c>
      <c r="F315">
        <v>7.2</v>
      </c>
      <c r="G315">
        <v>28</v>
      </c>
      <c r="H315" t="s">
        <v>14</v>
      </c>
      <c r="I315" t="s">
        <v>12</v>
      </c>
      <c r="K315" t="s">
        <v>466</v>
      </c>
      <c r="L315" s="1">
        <v>46168</v>
      </c>
    </row>
    <row r="316" spans="1:12" x14ac:dyDescent="0.3">
      <c r="A316" t="s">
        <v>516</v>
      </c>
      <c r="B316" t="s">
        <v>11</v>
      </c>
      <c r="C316" s="1">
        <v>46162</v>
      </c>
      <c r="D316" s="2" t="s">
        <v>12</v>
      </c>
      <c r="E316" t="s">
        <v>319</v>
      </c>
      <c r="F316">
        <v>7.2</v>
      </c>
      <c r="G316">
        <v>28</v>
      </c>
      <c r="H316" t="s">
        <v>14</v>
      </c>
      <c r="I316" t="s">
        <v>12</v>
      </c>
      <c r="K316" t="s">
        <v>466</v>
      </c>
      <c r="L316" s="1">
        <v>46168</v>
      </c>
    </row>
    <row r="317" spans="1:12" x14ac:dyDescent="0.3">
      <c r="A317" s="4" t="s">
        <v>517</v>
      </c>
      <c r="B317" t="s">
        <v>11</v>
      </c>
      <c r="C317" s="1">
        <v>46162</v>
      </c>
      <c r="D317" s="2" t="s">
        <v>12</v>
      </c>
      <c r="E317" t="s">
        <v>319</v>
      </c>
      <c r="F317">
        <v>7.9</v>
      </c>
      <c r="G317">
        <v>28</v>
      </c>
      <c r="H317" t="s">
        <v>299</v>
      </c>
      <c r="I317" t="s">
        <v>12</v>
      </c>
      <c r="K317" t="s">
        <v>473</v>
      </c>
      <c r="L317" s="1">
        <v>46168</v>
      </c>
    </row>
    <row r="318" spans="1:12" x14ac:dyDescent="0.3">
      <c r="A318" t="s">
        <v>518</v>
      </c>
      <c r="B318" t="s">
        <v>11</v>
      </c>
      <c r="C318" s="1">
        <v>46162</v>
      </c>
      <c r="D318" s="2" t="s">
        <v>12</v>
      </c>
      <c r="E318" t="s">
        <v>319</v>
      </c>
      <c r="F318">
        <v>7.6</v>
      </c>
      <c r="G318">
        <v>28</v>
      </c>
      <c r="H318" t="s">
        <v>299</v>
      </c>
      <c r="I318" t="s">
        <v>12</v>
      </c>
      <c r="K318" t="s">
        <v>466</v>
      </c>
      <c r="L318" s="1">
        <v>46168</v>
      </c>
    </row>
    <row r="319" spans="1:12" x14ac:dyDescent="0.3">
      <c r="A319" s="4" t="s">
        <v>320</v>
      </c>
      <c r="B319" t="s">
        <v>11</v>
      </c>
      <c r="C319" s="1">
        <v>46162</v>
      </c>
      <c r="D319" s="2" t="s">
        <v>12</v>
      </c>
      <c r="E319" t="s">
        <v>319</v>
      </c>
      <c r="F319">
        <v>7.8</v>
      </c>
      <c r="G319">
        <v>28</v>
      </c>
      <c r="H319" t="s">
        <v>14</v>
      </c>
      <c r="I319" t="s">
        <v>12</v>
      </c>
      <c r="K319" t="s">
        <v>473</v>
      </c>
      <c r="L319" s="1">
        <v>46168</v>
      </c>
    </row>
    <row r="320" spans="1:12" x14ac:dyDescent="0.3">
      <c r="A320" s="4" t="s">
        <v>321</v>
      </c>
      <c r="B320" t="s">
        <v>11</v>
      </c>
      <c r="C320" s="1">
        <v>46162</v>
      </c>
      <c r="D320" s="2" t="s">
        <v>12</v>
      </c>
      <c r="E320" t="s">
        <v>319</v>
      </c>
      <c r="F320">
        <v>7.9</v>
      </c>
      <c r="G320">
        <v>28</v>
      </c>
      <c r="H320" t="s">
        <v>299</v>
      </c>
      <c r="I320" t="s">
        <v>12</v>
      </c>
      <c r="K320" t="s">
        <v>473</v>
      </c>
      <c r="L320" s="1">
        <v>46168</v>
      </c>
    </row>
    <row r="321" spans="1:16" x14ac:dyDescent="0.3">
      <c r="A321" t="s">
        <v>322</v>
      </c>
      <c r="B321" t="s">
        <v>11</v>
      </c>
      <c r="C321" s="1">
        <v>46162</v>
      </c>
      <c r="D321" s="2" t="s">
        <v>12</v>
      </c>
      <c r="E321" t="s">
        <v>319</v>
      </c>
      <c r="F321">
        <v>7.2</v>
      </c>
      <c r="G321">
        <v>28</v>
      </c>
      <c r="H321" t="s">
        <v>14</v>
      </c>
      <c r="I321" t="s">
        <v>12</v>
      </c>
      <c r="K321" t="s">
        <v>473</v>
      </c>
      <c r="L321" s="1">
        <v>46168</v>
      </c>
    </row>
    <row r="322" spans="1:16" x14ac:dyDescent="0.3">
      <c r="A322" s="4" t="s">
        <v>323</v>
      </c>
      <c r="B322" t="s">
        <v>11</v>
      </c>
      <c r="C322" s="1">
        <v>46162</v>
      </c>
      <c r="D322" s="2" t="s">
        <v>12</v>
      </c>
      <c r="E322" t="s">
        <v>319</v>
      </c>
      <c r="F322">
        <v>7.9</v>
      </c>
      <c r="G322">
        <v>28</v>
      </c>
      <c r="H322" t="s">
        <v>299</v>
      </c>
      <c r="I322" t="s">
        <v>12</v>
      </c>
      <c r="K322" t="s">
        <v>473</v>
      </c>
      <c r="L322" s="1">
        <v>46168</v>
      </c>
    </row>
    <row r="323" spans="1:16" x14ac:dyDescent="0.3">
      <c r="A323" t="s">
        <v>324</v>
      </c>
      <c r="B323" t="s">
        <v>11</v>
      </c>
      <c r="C323" s="1">
        <v>46162</v>
      </c>
      <c r="D323" s="2" t="s">
        <v>12</v>
      </c>
      <c r="E323" t="s">
        <v>319</v>
      </c>
      <c r="F323">
        <v>8.1999999999999993</v>
      </c>
      <c r="G323">
        <v>28</v>
      </c>
      <c r="H323" t="s">
        <v>299</v>
      </c>
      <c r="I323" t="s">
        <v>12</v>
      </c>
      <c r="J323" t="s">
        <v>487</v>
      </c>
    </row>
    <row r="324" spans="1:16" x14ac:dyDescent="0.3">
      <c r="A324" s="4" t="s">
        <v>325</v>
      </c>
      <c r="B324" t="s">
        <v>11</v>
      </c>
      <c r="C324" s="1">
        <v>46162</v>
      </c>
      <c r="D324" s="2" t="s">
        <v>12</v>
      </c>
      <c r="E324" t="s">
        <v>319</v>
      </c>
      <c r="F324">
        <v>7.9</v>
      </c>
      <c r="G324">
        <v>28</v>
      </c>
      <c r="H324" t="s">
        <v>299</v>
      </c>
      <c r="I324" t="s">
        <v>12</v>
      </c>
      <c r="K324" t="s">
        <v>473</v>
      </c>
      <c r="L324" s="1">
        <v>46168</v>
      </c>
    </row>
    <row r="325" spans="1:16" x14ac:dyDescent="0.3">
      <c r="A325" t="s">
        <v>326</v>
      </c>
      <c r="B325" t="s">
        <v>11</v>
      </c>
      <c r="C325" s="1">
        <v>46162</v>
      </c>
      <c r="D325" s="2" t="s">
        <v>12</v>
      </c>
      <c r="E325" t="s">
        <v>319</v>
      </c>
      <c r="F325">
        <v>7.9</v>
      </c>
      <c r="G325">
        <v>28</v>
      </c>
      <c r="H325" t="s">
        <v>299</v>
      </c>
      <c r="I325" t="s">
        <v>12</v>
      </c>
      <c r="J325" t="s">
        <v>487</v>
      </c>
    </row>
    <row r="326" spans="1:16" x14ac:dyDescent="0.3">
      <c r="A326" s="4" t="s">
        <v>327</v>
      </c>
      <c r="B326" t="s">
        <v>11</v>
      </c>
      <c r="C326" s="1">
        <v>46162</v>
      </c>
      <c r="D326" s="2" t="s">
        <v>12</v>
      </c>
      <c r="E326" t="s">
        <v>319</v>
      </c>
      <c r="F326">
        <v>7.2</v>
      </c>
      <c r="G326">
        <v>28</v>
      </c>
      <c r="H326" t="s">
        <v>14</v>
      </c>
      <c r="I326" t="s">
        <v>12</v>
      </c>
      <c r="K326" t="s">
        <v>473</v>
      </c>
      <c r="L326" s="1">
        <v>46168</v>
      </c>
    </row>
    <row r="327" spans="1:16" x14ac:dyDescent="0.3">
      <c r="A327" t="s">
        <v>328</v>
      </c>
      <c r="B327" t="s">
        <v>11</v>
      </c>
      <c r="C327" s="1">
        <v>46162</v>
      </c>
      <c r="D327" s="2" t="s">
        <v>12</v>
      </c>
      <c r="E327" t="s">
        <v>319</v>
      </c>
      <c r="F327">
        <v>8.1999999999999993</v>
      </c>
      <c r="G327">
        <v>28</v>
      </c>
      <c r="H327" t="s">
        <v>299</v>
      </c>
      <c r="I327" t="s">
        <v>12</v>
      </c>
      <c r="J327" t="s">
        <v>487</v>
      </c>
    </row>
    <row r="328" spans="1:16" x14ac:dyDescent="0.3">
      <c r="A328" s="4" t="s">
        <v>329</v>
      </c>
      <c r="B328" t="s">
        <v>11</v>
      </c>
      <c r="C328" s="1">
        <v>46162</v>
      </c>
      <c r="D328" s="2" t="s">
        <v>12</v>
      </c>
      <c r="E328" t="s">
        <v>319</v>
      </c>
      <c r="F328">
        <v>7.8</v>
      </c>
      <c r="G328">
        <v>28</v>
      </c>
      <c r="H328" t="s">
        <v>14</v>
      </c>
      <c r="I328" t="s">
        <v>12</v>
      </c>
      <c r="K328" t="s">
        <v>473</v>
      </c>
      <c r="L328" s="1">
        <v>46168</v>
      </c>
      <c r="P328" t="s">
        <v>501</v>
      </c>
    </row>
    <row r="329" spans="1:16" x14ac:dyDescent="0.3">
      <c r="A329" t="s">
        <v>330</v>
      </c>
      <c r="B329" t="s">
        <v>11</v>
      </c>
      <c r="C329" s="1">
        <v>46162</v>
      </c>
      <c r="D329" s="2" t="s">
        <v>12</v>
      </c>
      <c r="E329" t="s">
        <v>319</v>
      </c>
      <c r="F329">
        <v>8.1999999999999993</v>
      </c>
      <c r="G329">
        <v>28</v>
      </c>
      <c r="H329" t="s">
        <v>299</v>
      </c>
      <c r="I329" t="s">
        <v>12</v>
      </c>
      <c r="K329" t="s">
        <v>473</v>
      </c>
      <c r="L329" s="1">
        <v>46168</v>
      </c>
    </row>
    <row r="330" spans="1:16" x14ac:dyDescent="0.3">
      <c r="A330" s="4" t="s">
        <v>331</v>
      </c>
      <c r="B330" t="s">
        <v>11</v>
      </c>
      <c r="C330" s="1">
        <v>46162</v>
      </c>
      <c r="D330" s="2" t="s">
        <v>12</v>
      </c>
      <c r="E330" t="s">
        <v>319</v>
      </c>
      <c r="I330" t="s">
        <v>12</v>
      </c>
      <c r="K330" t="s">
        <v>473</v>
      </c>
      <c r="L330" s="1">
        <v>46168</v>
      </c>
    </row>
    <row r="331" spans="1:16" x14ac:dyDescent="0.3">
      <c r="A331" t="s">
        <v>332</v>
      </c>
      <c r="B331" t="s">
        <v>11</v>
      </c>
      <c r="C331" s="1">
        <v>46162</v>
      </c>
      <c r="D331" s="2" t="s">
        <v>12</v>
      </c>
      <c r="E331" t="s">
        <v>319</v>
      </c>
      <c r="F331">
        <v>7.5</v>
      </c>
      <c r="G331">
        <v>28</v>
      </c>
      <c r="H331" t="s">
        <v>14</v>
      </c>
      <c r="I331" t="s">
        <v>12</v>
      </c>
      <c r="K331" t="s">
        <v>466</v>
      </c>
      <c r="L331" s="1">
        <v>46168</v>
      </c>
    </row>
    <row r="332" spans="1:16" x14ac:dyDescent="0.3">
      <c r="A332" s="4" t="s">
        <v>333</v>
      </c>
      <c r="B332" t="s">
        <v>11</v>
      </c>
      <c r="C332" s="1">
        <v>46162</v>
      </c>
      <c r="D332" s="2" t="s">
        <v>12</v>
      </c>
      <c r="E332" t="s">
        <v>319</v>
      </c>
      <c r="F332">
        <v>8</v>
      </c>
      <c r="G332">
        <v>28</v>
      </c>
      <c r="H332" t="s">
        <v>14</v>
      </c>
      <c r="I332" t="s">
        <v>12</v>
      </c>
      <c r="K332" t="s">
        <v>473</v>
      </c>
      <c r="L332" s="1">
        <v>46168</v>
      </c>
    </row>
    <row r="333" spans="1:16" x14ac:dyDescent="0.3">
      <c r="A333" t="s">
        <v>334</v>
      </c>
      <c r="B333" t="s">
        <v>11</v>
      </c>
      <c r="C333" s="1">
        <v>46162</v>
      </c>
      <c r="D333" s="2" t="s">
        <v>12</v>
      </c>
      <c r="E333" t="s">
        <v>319</v>
      </c>
      <c r="F333">
        <v>7.9</v>
      </c>
      <c r="G333">
        <v>28</v>
      </c>
      <c r="H333" t="s">
        <v>299</v>
      </c>
      <c r="I333" t="s">
        <v>12</v>
      </c>
      <c r="K333" t="s">
        <v>466</v>
      </c>
      <c r="L333" s="1">
        <v>46168</v>
      </c>
    </row>
    <row r="334" spans="1:16" x14ac:dyDescent="0.3">
      <c r="A334" s="4" t="s">
        <v>335</v>
      </c>
      <c r="B334" t="s">
        <v>11</v>
      </c>
      <c r="C334" s="1">
        <v>46162</v>
      </c>
      <c r="D334" s="2" t="s">
        <v>12</v>
      </c>
      <c r="E334" t="s">
        <v>319</v>
      </c>
      <c r="F334">
        <v>7.2</v>
      </c>
      <c r="G334">
        <v>28</v>
      </c>
      <c r="H334" t="s">
        <v>14</v>
      </c>
      <c r="I334" t="s">
        <v>12</v>
      </c>
      <c r="K334" t="s">
        <v>466</v>
      </c>
      <c r="L334" s="1">
        <v>46168</v>
      </c>
    </row>
    <row r="335" spans="1:16" x14ac:dyDescent="0.3">
      <c r="A335" s="4" t="s">
        <v>336</v>
      </c>
      <c r="B335" t="s">
        <v>11</v>
      </c>
      <c r="C335" s="1">
        <v>46162</v>
      </c>
      <c r="D335" s="2" t="s">
        <v>12</v>
      </c>
      <c r="E335" t="s">
        <v>319</v>
      </c>
      <c r="F335">
        <v>7.6</v>
      </c>
      <c r="G335">
        <v>28</v>
      </c>
      <c r="H335" t="s">
        <v>299</v>
      </c>
      <c r="I335" t="s">
        <v>12</v>
      </c>
      <c r="K335" t="s">
        <v>473</v>
      </c>
      <c r="L335" s="1">
        <v>46168</v>
      </c>
    </row>
    <row r="336" spans="1:16" x14ac:dyDescent="0.3">
      <c r="A336" t="s">
        <v>337</v>
      </c>
      <c r="B336" t="s">
        <v>11</v>
      </c>
      <c r="C336" s="1">
        <v>46162</v>
      </c>
      <c r="D336" s="2" t="s">
        <v>12</v>
      </c>
      <c r="E336" t="s">
        <v>319</v>
      </c>
      <c r="F336">
        <v>7.6</v>
      </c>
      <c r="G336">
        <v>28</v>
      </c>
      <c r="H336" t="s">
        <v>14</v>
      </c>
      <c r="I336" t="s">
        <v>12</v>
      </c>
      <c r="K336" t="s">
        <v>466</v>
      </c>
      <c r="L336" s="1">
        <v>46168</v>
      </c>
    </row>
    <row r="337" spans="1:16" x14ac:dyDescent="0.3">
      <c r="A337" s="4" t="s">
        <v>338</v>
      </c>
      <c r="B337" t="s">
        <v>11</v>
      </c>
      <c r="C337" s="1">
        <v>46162</v>
      </c>
      <c r="D337" s="2" t="s">
        <v>12</v>
      </c>
      <c r="E337" t="s">
        <v>319</v>
      </c>
      <c r="F337">
        <v>7.8</v>
      </c>
      <c r="G337">
        <v>28</v>
      </c>
      <c r="H337" t="s">
        <v>14</v>
      </c>
      <c r="I337" t="s">
        <v>12</v>
      </c>
      <c r="K337" t="s">
        <v>466</v>
      </c>
      <c r="L337" s="1">
        <v>46168</v>
      </c>
    </row>
    <row r="338" spans="1:16" x14ac:dyDescent="0.3">
      <c r="A338" t="s">
        <v>339</v>
      </c>
      <c r="B338" t="s">
        <v>11</v>
      </c>
      <c r="C338" s="1">
        <v>46162</v>
      </c>
      <c r="D338" s="2" t="s">
        <v>12</v>
      </c>
      <c r="E338" t="s">
        <v>319</v>
      </c>
      <c r="F338">
        <v>7.4</v>
      </c>
      <c r="G338">
        <v>28</v>
      </c>
      <c r="H338" t="s">
        <v>14</v>
      </c>
      <c r="I338" t="s">
        <v>12</v>
      </c>
      <c r="K338" t="s">
        <v>473</v>
      </c>
      <c r="L338" s="1">
        <v>46168</v>
      </c>
    </row>
    <row r="339" spans="1:16" x14ac:dyDescent="0.3">
      <c r="A339" s="4" t="s">
        <v>340</v>
      </c>
      <c r="B339" t="s">
        <v>11</v>
      </c>
      <c r="C339" s="1">
        <v>46162</v>
      </c>
      <c r="D339" s="2" t="s">
        <v>12</v>
      </c>
      <c r="E339" t="s">
        <v>319</v>
      </c>
      <c r="F339">
        <v>7.4</v>
      </c>
      <c r="G339">
        <v>28</v>
      </c>
      <c r="H339" t="s">
        <v>14</v>
      </c>
      <c r="I339" t="s">
        <v>12</v>
      </c>
      <c r="K339" t="s">
        <v>473</v>
      </c>
      <c r="L339" s="1">
        <v>46168</v>
      </c>
    </row>
    <row r="340" spans="1:16" x14ac:dyDescent="0.3">
      <c r="A340" t="s">
        <v>341</v>
      </c>
      <c r="B340" t="s">
        <v>11</v>
      </c>
      <c r="C340" s="1">
        <v>46162</v>
      </c>
      <c r="D340" s="2" t="s">
        <v>12</v>
      </c>
      <c r="E340" t="s">
        <v>319</v>
      </c>
      <c r="F340">
        <v>7.6</v>
      </c>
      <c r="G340">
        <v>28</v>
      </c>
      <c r="H340" t="s">
        <v>299</v>
      </c>
      <c r="I340" t="s">
        <v>12</v>
      </c>
      <c r="K340" t="s">
        <v>473</v>
      </c>
      <c r="L340" s="1">
        <v>46168</v>
      </c>
    </row>
    <row r="341" spans="1:16" x14ac:dyDescent="0.3">
      <c r="A341" s="4" t="s">
        <v>342</v>
      </c>
      <c r="B341" t="s">
        <v>11</v>
      </c>
      <c r="C341" s="1">
        <v>46162</v>
      </c>
      <c r="D341" s="2" t="s">
        <v>12</v>
      </c>
      <c r="E341" t="s">
        <v>319</v>
      </c>
      <c r="F341">
        <v>7.2</v>
      </c>
      <c r="G341">
        <v>28</v>
      </c>
      <c r="H341" t="s">
        <v>14</v>
      </c>
      <c r="I341" t="s">
        <v>12</v>
      </c>
      <c r="K341" t="s">
        <v>473</v>
      </c>
      <c r="L341" s="1">
        <v>46168</v>
      </c>
    </row>
    <row r="342" spans="1:16" x14ac:dyDescent="0.3">
      <c r="A342" s="4" t="s">
        <v>343</v>
      </c>
      <c r="B342" t="s">
        <v>11</v>
      </c>
      <c r="C342" s="1">
        <v>46162</v>
      </c>
      <c r="D342" s="2" t="s">
        <v>12</v>
      </c>
      <c r="E342" t="s">
        <v>319</v>
      </c>
      <c r="F342">
        <v>7.6</v>
      </c>
      <c r="G342">
        <v>28</v>
      </c>
      <c r="H342" t="s">
        <v>299</v>
      </c>
      <c r="I342" t="s">
        <v>12</v>
      </c>
      <c r="K342" t="s">
        <v>466</v>
      </c>
      <c r="L342" s="1">
        <v>46168</v>
      </c>
    </row>
    <row r="343" spans="1:16" x14ac:dyDescent="0.3">
      <c r="A343" t="s">
        <v>344</v>
      </c>
      <c r="B343" t="s">
        <v>11</v>
      </c>
      <c r="C343" s="1">
        <v>46162</v>
      </c>
      <c r="D343" s="2" t="s">
        <v>12</v>
      </c>
      <c r="E343" t="s">
        <v>319</v>
      </c>
      <c r="F343">
        <v>7.4</v>
      </c>
      <c r="G343">
        <v>28</v>
      </c>
      <c r="H343" t="s">
        <v>14</v>
      </c>
      <c r="I343" t="s">
        <v>12</v>
      </c>
      <c r="K343" t="s">
        <v>466</v>
      </c>
      <c r="L343" s="1">
        <v>46168</v>
      </c>
    </row>
    <row r="344" spans="1:16" x14ac:dyDescent="0.3">
      <c r="A344" s="4" t="s">
        <v>345</v>
      </c>
      <c r="B344" t="s">
        <v>11</v>
      </c>
      <c r="C344" s="1">
        <v>46162</v>
      </c>
      <c r="D344" s="2" t="s">
        <v>12</v>
      </c>
      <c r="E344" t="s">
        <v>319</v>
      </c>
      <c r="F344">
        <v>8.1999999999999993</v>
      </c>
      <c r="G344">
        <v>28</v>
      </c>
      <c r="H344" t="s">
        <v>299</v>
      </c>
      <c r="I344" t="s">
        <v>12</v>
      </c>
      <c r="K344" t="s">
        <v>473</v>
      </c>
      <c r="L344" s="1">
        <v>46168</v>
      </c>
    </row>
    <row r="345" spans="1:16" x14ac:dyDescent="0.3">
      <c r="A345" s="4" t="s">
        <v>346</v>
      </c>
      <c r="B345" t="s">
        <v>11</v>
      </c>
      <c r="C345" s="1">
        <v>46162</v>
      </c>
      <c r="D345" s="2" t="s">
        <v>12</v>
      </c>
      <c r="E345" t="s">
        <v>319</v>
      </c>
      <c r="F345">
        <v>7.2</v>
      </c>
      <c r="G345">
        <v>28</v>
      </c>
      <c r="H345" t="s">
        <v>14</v>
      </c>
      <c r="I345" t="s">
        <v>12</v>
      </c>
      <c r="K345" t="s">
        <v>473</v>
      </c>
      <c r="L345" s="1">
        <v>46168</v>
      </c>
    </row>
    <row r="346" spans="1:16" x14ac:dyDescent="0.3">
      <c r="A346" t="s">
        <v>347</v>
      </c>
      <c r="B346" t="s">
        <v>11</v>
      </c>
      <c r="C346" s="1">
        <v>46162</v>
      </c>
      <c r="D346" s="2" t="s">
        <v>12</v>
      </c>
      <c r="E346" t="s">
        <v>319</v>
      </c>
      <c r="F346">
        <v>7.2</v>
      </c>
      <c r="G346">
        <v>28</v>
      </c>
      <c r="H346" t="s">
        <v>14</v>
      </c>
      <c r="I346" t="s">
        <v>12</v>
      </c>
      <c r="K346" t="s">
        <v>473</v>
      </c>
      <c r="L346" s="1">
        <v>46168</v>
      </c>
      <c r="P346" t="s">
        <v>501</v>
      </c>
    </row>
    <row r="347" spans="1:16" x14ac:dyDescent="0.3">
      <c r="A347" s="4" t="s">
        <v>348</v>
      </c>
      <c r="B347" t="s">
        <v>11</v>
      </c>
      <c r="C347" s="1">
        <v>46162</v>
      </c>
      <c r="D347" s="2" t="s">
        <v>12</v>
      </c>
      <c r="E347" t="s">
        <v>319</v>
      </c>
      <c r="F347">
        <v>7.2</v>
      </c>
      <c r="G347">
        <v>28</v>
      </c>
      <c r="H347" t="s">
        <v>14</v>
      </c>
      <c r="I347" t="s">
        <v>12</v>
      </c>
      <c r="K347" t="s">
        <v>473</v>
      </c>
      <c r="L347" s="1">
        <v>46168</v>
      </c>
    </row>
    <row r="348" spans="1:16" x14ac:dyDescent="0.3">
      <c r="A348" t="s">
        <v>519</v>
      </c>
      <c r="B348" t="s">
        <v>11</v>
      </c>
      <c r="C348" s="1">
        <v>46162</v>
      </c>
      <c r="D348" s="2" t="s">
        <v>12</v>
      </c>
      <c r="E348" t="s">
        <v>349</v>
      </c>
      <c r="F348">
        <v>9</v>
      </c>
      <c r="G348">
        <v>28</v>
      </c>
      <c r="H348" t="s">
        <v>299</v>
      </c>
      <c r="I348" t="s">
        <v>12</v>
      </c>
      <c r="K348" t="s">
        <v>473</v>
      </c>
      <c r="L348" s="1">
        <v>46168</v>
      </c>
    </row>
    <row r="349" spans="1:16" x14ac:dyDescent="0.3">
      <c r="A349" t="s">
        <v>520</v>
      </c>
      <c r="B349" t="s">
        <v>11</v>
      </c>
      <c r="C349" s="1">
        <v>46162</v>
      </c>
      <c r="D349" s="2" t="s">
        <v>12</v>
      </c>
      <c r="E349" t="s">
        <v>349</v>
      </c>
      <c r="F349">
        <v>9</v>
      </c>
      <c r="G349">
        <v>28</v>
      </c>
      <c r="H349" t="s">
        <v>299</v>
      </c>
      <c r="I349" t="s">
        <v>12</v>
      </c>
      <c r="K349" t="s">
        <v>466</v>
      </c>
      <c r="L349" s="1">
        <v>46168</v>
      </c>
    </row>
    <row r="350" spans="1:16" x14ac:dyDescent="0.3">
      <c r="A350" t="s">
        <v>521</v>
      </c>
      <c r="B350" t="s">
        <v>11</v>
      </c>
      <c r="C350" s="1">
        <v>46162</v>
      </c>
      <c r="D350" s="2" t="s">
        <v>12</v>
      </c>
      <c r="E350" t="s">
        <v>349</v>
      </c>
      <c r="F350">
        <v>9.3000000000000007</v>
      </c>
      <c r="G350">
        <v>28</v>
      </c>
      <c r="H350" t="s">
        <v>299</v>
      </c>
      <c r="I350" t="s">
        <v>12</v>
      </c>
      <c r="K350" t="s">
        <v>473</v>
      </c>
      <c r="L350" s="1">
        <v>46168</v>
      </c>
    </row>
    <row r="351" spans="1:16" x14ac:dyDescent="0.3">
      <c r="A351" t="s">
        <v>522</v>
      </c>
      <c r="B351" t="s">
        <v>11</v>
      </c>
      <c r="C351" s="1">
        <v>46162</v>
      </c>
      <c r="D351" s="2" t="s">
        <v>12</v>
      </c>
      <c r="E351" t="s">
        <v>349</v>
      </c>
      <c r="F351">
        <v>9</v>
      </c>
      <c r="G351">
        <v>28</v>
      </c>
      <c r="H351" t="s">
        <v>299</v>
      </c>
      <c r="I351" t="s">
        <v>12</v>
      </c>
      <c r="K351" t="s">
        <v>473</v>
      </c>
      <c r="L351" s="1">
        <v>46168</v>
      </c>
    </row>
    <row r="352" spans="1:16" x14ac:dyDescent="0.3">
      <c r="A352" t="s">
        <v>523</v>
      </c>
      <c r="B352" t="s">
        <v>11</v>
      </c>
      <c r="C352" s="1">
        <v>46162</v>
      </c>
      <c r="D352" s="2" t="s">
        <v>12</v>
      </c>
      <c r="E352" t="s">
        <v>349</v>
      </c>
      <c r="F352">
        <v>8.8000000000000007</v>
      </c>
      <c r="G352">
        <v>28</v>
      </c>
      <c r="H352" t="s">
        <v>14</v>
      </c>
      <c r="I352" t="s">
        <v>12</v>
      </c>
      <c r="J352" t="s">
        <v>487</v>
      </c>
    </row>
    <row r="353" spans="1:16" x14ac:dyDescent="0.3">
      <c r="A353" t="s">
        <v>524</v>
      </c>
      <c r="B353" t="s">
        <v>11</v>
      </c>
      <c r="C353" s="1">
        <v>46162</v>
      </c>
      <c r="D353" s="2" t="s">
        <v>12</v>
      </c>
      <c r="E353" t="s">
        <v>349</v>
      </c>
      <c r="F353">
        <v>9.3000000000000007</v>
      </c>
      <c r="G353">
        <v>28</v>
      </c>
      <c r="H353" t="s">
        <v>299</v>
      </c>
      <c r="I353" t="s">
        <v>12</v>
      </c>
      <c r="K353" t="s">
        <v>473</v>
      </c>
      <c r="L353" s="1">
        <v>46168</v>
      </c>
      <c r="P353" t="s">
        <v>527</v>
      </c>
    </row>
    <row r="354" spans="1:16" x14ac:dyDescent="0.3">
      <c r="A354" t="s">
        <v>525</v>
      </c>
      <c r="B354" t="s">
        <v>11</v>
      </c>
      <c r="C354" s="1">
        <v>46162</v>
      </c>
      <c r="D354" s="2" t="s">
        <v>12</v>
      </c>
      <c r="E354" t="s">
        <v>349</v>
      </c>
      <c r="F354">
        <v>9.3000000000000007</v>
      </c>
      <c r="G354">
        <v>28</v>
      </c>
      <c r="H354" t="s">
        <v>299</v>
      </c>
      <c r="I354" t="s">
        <v>12</v>
      </c>
      <c r="K354" t="s">
        <v>473</v>
      </c>
      <c r="L354" s="1">
        <v>46168</v>
      </c>
      <c r="P354" t="s">
        <v>501</v>
      </c>
    </row>
    <row r="355" spans="1:16" x14ac:dyDescent="0.3">
      <c r="A355" t="s">
        <v>526</v>
      </c>
      <c r="B355" t="s">
        <v>11</v>
      </c>
      <c r="C355" s="1">
        <v>46162</v>
      </c>
      <c r="D355" s="2" t="s">
        <v>12</v>
      </c>
      <c r="E355" t="s">
        <v>349</v>
      </c>
      <c r="F355">
        <v>9</v>
      </c>
      <c r="G355">
        <v>28</v>
      </c>
      <c r="H355" t="s">
        <v>299</v>
      </c>
      <c r="I355" t="s">
        <v>12</v>
      </c>
      <c r="K355" t="s">
        <v>473</v>
      </c>
      <c r="L355" s="1">
        <v>46168</v>
      </c>
    </row>
    <row r="356" spans="1:16" x14ac:dyDescent="0.3">
      <c r="A356" t="s">
        <v>350</v>
      </c>
      <c r="B356" t="s">
        <v>11</v>
      </c>
      <c r="C356" s="1">
        <v>46162</v>
      </c>
      <c r="D356" s="2" t="s">
        <v>12</v>
      </c>
      <c r="E356" t="s">
        <v>349</v>
      </c>
      <c r="F356">
        <v>8.6999999999999993</v>
      </c>
      <c r="G356">
        <v>28</v>
      </c>
      <c r="H356" t="s">
        <v>14</v>
      </c>
      <c r="I356" t="s">
        <v>12</v>
      </c>
      <c r="K356" t="s">
        <v>473</v>
      </c>
      <c r="L356" s="1">
        <v>46168</v>
      </c>
    </row>
    <row r="357" spans="1:16" x14ac:dyDescent="0.3">
      <c r="A357" t="s">
        <v>351</v>
      </c>
      <c r="B357" t="s">
        <v>11</v>
      </c>
      <c r="C357" s="1">
        <v>46162</v>
      </c>
      <c r="D357" s="2" t="s">
        <v>12</v>
      </c>
      <c r="E357" t="s">
        <v>349</v>
      </c>
      <c r="F357">
        <v>9.1999999999999993</v>
      </c>
      <c r="G357">
        <v>28</v>
      </c>
      <c r="H357" t="s">
        <v>14</v>
      </c>
      <c r="I357" t="s">
        <v>12</v>
      </c>
      <c r="K357" t="s">
        <v>473</v>
      </c>
      <c r="L357" s="1">
        <v>46168</v>
      </c>
    </row>
    <row r="358" spans="1:16" x14ac:dyDescent="0.3">
      <c r="A358" t="s">
        <v>352</v>
      </c>
      <c r="B358" t="s">
        <v>11</v>
      </c>
      <c r="C358" s="1">
        <v>46162</v>
      </c>
      <c r="D358" s="2" t="s">
        <v>12</v>
      </c>
      <c r="E358" t="s">
        <v>349</v>
      </c>
      <c r="F358">
        <v>8.6999999999999993</v>
      </c>
      <c r="G358">
        <v>28</v>
      </c>
      <c r="H358" t="s">
        <v>14</v>
      </c>
      <c r="I358" t="s">
        <v>12</v>
      </c>
      <c r="K358" t="s">
        <v>473</v>
      </c>
      <c r="L358" s="1">
        <v>46168</v>
      </c>
    </row>
    <row r="359" spans="1:16" x14ac:dyDescent="0.3">
      <c r="A359" t="s">
        <v>353</v>
      </c>
      <c r="B359" t="s">
        <v>11</v>
      </c>
      <c r="C359" s="1">
        <v>46162</v>
      </c>
      <c r="D359" s="2" t="s">
        <v>12</v>
      </c>
      <c r="E359" t="s">
        <v>349</v>
      </c>
      <c r="F359">
        <v>8.6</v>
      </c>
      <c r="G359">
        <v>28</v>
      </c>
      <c r="H359" t="s">
        <v>14</v>
      </c>
      <c r="I359" t="s">
        <v>12</v>
      </c>
      <c r="K359" t="s">
        <v>473</v>
      </c>
      <c r="L359" s="1">
        <v>46168</v>
      </c>
    </row>
    <row r="360" spans="1:16" x14ac:dyDescent="0.3">
      <c r="A360" t="s">
        <v>354</v>
      </c>
      <c r="B360" t="s">
        <v>11</v>
      </c>
      <c r="C360" s="1">
        <v>46162</v>
      </c>
      <c r="D360" s="2" t="s">
        <v>12</v>
      </c>
      <c r="E360" t="s">
        <v>349</v>
      </c>
      <c r="F360">
        <v>8.6</v>
      </c>
      <c r="G360">
        <v>28</v>
      </c>
      <c r="H360" t="s">
        <v>14</v>
      </c>
      <c r="I360" t="s">
        <v>12</v>
      </c>
      <c r="K360" t="s">
        <v>473</v>
      </c>
      <c r="L360" s="1">
        <v>46168</v>
      </c>
    </row>
    <row r="361" spans="1:16" x14ac:dyDescent="0.3">
      <c r="A361" t="s">
        <v>355</v>
      </c>
      <c r="B361" t="s">
        <v>11</v>
      </c>
      <c r="C361" s="1">
        <v>46162</v>
      </c>
      <c r="D361" s="2" t="s">
        <v>12</v>
      </c>
      <c r="E361" t="s">
        <v>349</v>
      </c>
      <c r="F361">
        <v>9.6</v>
      </c>
      <c r="G361">
        <v>28</v>
      </c>
      <c r="H361" t="s">
        <v>299</v>
      </c>
      <c r="I361" t="s">
        <v>12</v>
      </c>
      <c r="K361" t="s">
        <v>473</v>
      </c>
      <c r="L361" s="1">
        <v>46168</v>
      </c>
    </row>
    <row r="362" spans="1:16" x14ac:dyDescent="0.3">
      <c r="A362" t="s">
        <v>356</v>
      </c>
      <c r="B362" t="s">
        <v>11</v>
      </c>
      <c r="C362" s="1">
        <v>46162</v>
      </c>
      <c r="D362" s="2" t="s">
        <v>12</v>
      </c>
      <c r="E362" t="s">
        <v>349</v>
      </c>
      <c r="F362">
        <v>9.6999999999999993</v>
      </c>
      <c r="G362">
        <v>28</v>
      </c>
      <c r="H362" t="s">
        <v>299</v>
      </c>
      <c r="I362" t="s">
        <v>12</v>
      </c>
      <c r="K362" t="s">
        <v>473</v>
      </c>
      <c r="L362" s="1">
        <v>46168</v>
      </c>
    </row>
    <row r="363" spans="1:16" x14ac:dyDescent="0.3">
      <c r="A363" t="s">
        <v>357</v>
      </c>
      <c r="B363" t="s">
        <v>11</v>
      </c>
      <c r="C363" s="1">
        <v>46162</v>
      </c>
      <c r="D363" s="2" t="s">
        <v>12</v>
      </c>
      <c r="E363" t="s">
        <v>349</v>
      </c>
      <c r="F363">
        <v>9.1</v>
      </c>
      <c r="G363">
        <v>28</v>
      </c>
      <c r="H363" t="s">
        <v>14</v>
      </c>
      <c r="I363" t="s">
        <v>12</v>
      </c>
      <c r="K363" t="s">
        <v>473</v>
      </c>
      <c r="L363" s="1">
        <v>46168</v>
      </c>
    </row>
    <row r="364" spans="1:16" x14ac:dyDescent="0.3">
      <c r="A364" t="s">
        <v>358</v>
      </c>
      <c r="B364" t="s">
        <v>11</v>
      </c>
      <c r="C364" s="1">
        <v>46162</v>
      </c>
      <c r="D364" s="2" t="s">
        <v>12</v>
      </c>
      <c r="E364" t="s">
        <v>349</v>
      </c>
      <c r="F364">
        <v>9.1999999999999993</v>
      </c>
      <c r="G364">
        <v>28</v>
      </c>
      <c r="H364" t="s">
        <v>299</v>
      </c>
      <c r="I364" t="s">
        <v>12</v>
      </c>
      <c r="K364" t="s">
        <v>473</v>
      </c>
      <c r="L364" s="1">
        <v>46168</v>
      </c>
    </row>
    <row r="365" spans="1:16" x14ac:dyDescent="0.3">
      <c r="A365" t="s">
        <v>359</v>
      </c>
      <c r="B365" t="s">
        <v>11</v>
      </c>
      <c r="C365" s="1">
        <v>46162</v>
      </c>
      <c r="D365" s="2" t="s">
        <v>12</v>
      </c>
      <c r="E365" t="s">
        <v>349</v>
      </c>
      <c r="F365">
        <v>8.6999999999999993</v>
      </c>
      <c r="G365">
        <v>28</v>
      </c>
      <c r="H365" t="s">
        <v>14</v>
      </c>
      <c r="I365" t="s">
        <v>12</v>
      </c>
      <c r="K365" t="s">
        <v>473</v>
      </c>
      <c r="L365" s="1">
        <v>46168</v>
      </c>
    </row>
    <row r="366" spans="1:16" x14ac:dyDescent="0.3">
      <c r="A366" t="s">
        <v>360</v>
      </c>
      <c r="B366" t="s">
        <v>11</v>
      </c>
      <c r="C366" s="1">
        <v>46162</v>
      </c>
      <c r="D366" s="2" t="s">
        <v>12</v>
      </c>
      <c r="E366" t="s">
        <v>349</v>
      </c>
      <c r="F366">
        <v>9</v>
      </c>
      <c r="G366">
        <v>28</v>
      </c>
      <c r="H366" t="s">
        <v>299</v>
      </c>
      <c r="I366" t="s">
        <v>12</v>
      </c>
      <c r="K366" t="s">
        <v>466</v>
      </c>
      <c r="L366" s="1">
        <v>46168</v>
      </c>
    </row>
    <row r="367" spans="1:16" x14ac:dyDescent="0.3">
      <c r="A367" t="s">
        <v>361</v>
      </c>
      <c r="B367" t="s">
        <v>11</v>
      </c>
      <c r="C367" s="1">
        <v>46162</v>
      </c>
      <c r="D367" s="2" t="s">
        <v>12</v>
      </c>
      <c r="E367" t="s">
        <v>349</v>
      </c>
      <c r="F367">
        <v>8.4</v>
      </c>
      <c r="G367">
        <v>28</v>
      </c>
      <c r="H367" t="s">
        <v>14</v>
      </c>
      <c r="I367" t="s">
        <v>12</v>
      </c>
      <c r="K367" t="s">
        <v>473</v>
      </c>
      <c r="L367" s="1">
        <v>46168</v>
      </c>
    </row>
    <row r="368" spans="1:16" x14ac:dyDescent="0.3">
      <c r="A368" t="s">
        <v>362</v>
      </c>
      <c r="B368" t="s">
        <v>11</v>
      </c>
      <c r="C368" s="1">
        <v>46162</v>
      </c>
      <c r="D368" s="2" t="s">
        <v>12</v>
      </c>
      <c r="E368" t="s">
        <v>349</v>
      </c>
      <c r="F368">
        <v>8.5</v>
      </c>
      <c r="G368">
        <v>28</v>
      </c>
      <c r="H368" t="s">
        <v>14</v>
      </c>
      <c r="I368" t="s">
        <v>12</v>
      </c>
      <c r="K368" t="s">
        <v>473</v>
      </c>
      <c r="L368" s="1">
        <v>46168</v>
      </c>
    </row>
    <row r="369" spans="1:12" x14ac:dyDescent="0.3">
      <c r="A369" t="s">
        <v>363</v>
      </c>
      <c r="B369" t="s">
        <v>11</v>
      </c>
      <c r="C369" s="1">
        <v>46162</v>
      </c>
      <c r="D369" s="2" t="s">
        <v>12</v>
      </c>
      <c r="E369" t="s">
        <v>349</v>
      </c>
      <c r="F369">
        <v>9.3000000000000007</v>
      </c>
      <c r="G369">
        <v>28</v>
      </c>
      <c r="H369" t="s">
        <v>299</v>
      </c>
      <c r="I369" t="s">
        <v>12</v>
      </c>
      <c r="K369" t="s">
        <v>473</v>
      </c>
      <c r="L369" s="1">
        <v>46168</v>
      </c>
    </row>
    <row r="370" spans="1:12" x14ac:dyDescent="0.3">
      <c r="A370" t="s">
        <v>364</v>
      </c>
      <c r="B370" t="s">
        <v>11</v>
      </c>
      <c r="C370" s="1">
        <v>46162</v>
      </c>
      <c r="D370" s="2" t="s">
        <v>12</v>
      </c>
      <c r="E370" t="s">
        <v>349</v>
      </c>
      <c r="F370">
        <v>9</v>
      </c>
      <c r="G370">
        <v>28</v>
      </c>
      <c r="H370" t="s">
        <v>14</v>
      </c>
      <c r="I370" t="s">
        <v>12</v>
      </c>
      <c r="K370" t="s">
        <v>473</v>
      </c>
      <c r="L370" s="1">
        <v>46168</v>
      </c>
    </row>
    <row r="371" spans="1:12" x14ac:dyDescent="0.3">
      <c r="A371" t="s">
        <v>365</v>
      </c>
      <c r="B371" t="s">
        <v>11</v>
      </c>
      <c r="C371" s="1">
        <v>46162</v>
      </c>
      <c r="D371" s="2" t="s">
        <v>12</v>
      </c>
      <c r="E371" t="s">
        <v>349</v>
      </c>
      <c r="F371">
        <v>8.6999999999999993</v>
      </c>
      <c r="G371">
        <v>28</v>
      </c>
      <c r="H371" t="s">
        <v>14</v>
      </c>
      <c r="I371" t="s">
        <v>12</v>
      </c>
      <c r="K371" t="s">
        <v>473</v>
      </c>
      <c r="L371" s="1">
        <v>46168</v>
      </c>
    </row>
    <row r="372" spans="1:12" x14ac:dyDescent="0.3">
      <c r="A372" t="s">
        <v>366</v>
      </c>
      <c r="B372" t="s">
        <v>11</v>
      </c>
      <c r="C372" s="1">
        <v>46162</v>
      </c>
      <c r="D372" s="2" t="s">
        <v>12</v>
      </c>
      <c r="E372" t="s">
        <v>349</v>
      </c>
      <c r="F372">
        <v>9</v>
      </c>
      <c r="G372">
        <v>28</v>
      </c>
      <c r="H372" t="s">
        <v>299</v>
      </c>
      <c r="I372" t="s">
        <v>12</v>
      </c>
      <c r="K372" t="s">
        <v>473</v>
      </c>
      <c r="L372" s="1">
        <v>46168</v>
      </c>
    </row>
    <row r="373" spans="1:12" x14ac:dyDescent="0.3">
      <c r="A373" t="s">
        <v>367</v>
      </c>
      <c r="B373" t="s">
        <v>11</v>
      </c>
      <c r="C373" s="1">
        <v>46162</v>
      </c>
      <c r="D373" s="2" t="s">
        <v>12</v>
      </c>
      <c r="E373" t="s">
        <v>349</v>
      </c>
      <c r="F373">
        <v>8.6999999999999993</v>
      </c>
      <c r="G373">
        <v>28</v>
      </c>
      <c r="H373" t="s">
        <v>14</v>
      </c>
      <c r="I373" t="s">
        <v>12</v>
      </c>
      <c r="K373" t="s">
        <v>473</v>
      </c>
      <c r="L373" s="1">
        <v>46168</v>
      </c>
    </row>
    <row r="374" spans="1:12" x14ac:dyDescent="0.3">
      <c r="A374" t="s">
        <v>368</v>
      </c>
      <c r="B374" t="s">
        <v>11</v>
      </c>
      <c r="C374" s="1">
        <v>46162</v>
      </c>
      <c r="D374" s="2" t="s">
        <v>12</v>
      </c>
      <c r="E374" t="s">
        <v>349</v>
      </c>
      <c r="F374">
        <v>9.1999999999999993</v>
      </c>
      <c r="G374">
        <v>28</v>
      </c>
      <c r="H374" t="s">
        <v>299</v>
      </c>
      <c r="I374" t="s">
        <v>12</v>
      </c>
      <c r="K374" t="s">
        <v>473</v>
      </c>
      <c r="L374" s="1">
        <v>46168</v>
      </c>
    </row>
    <row r="375" spans="1:12" x14ac:dyDescent="0.3">
      <c r="A375" t="s">
        <v>369</v>
      </c>
      <c r="B375" t="s">
        <v>11</v>
      </c>
      <c r="C375" s="1">
        <v>46162</v>
      </c>
      <c r="D375" s="2" t="s">
        <v>12</v>
      </c>
      <c r="E375" t="s">
        <v>349</v>
      </c>
      <c r="F375">
        <v>8.6999999999999993</v>
      </c>
      <c r="G375">
        <v>28</v>
      </c>
      <c r="H375" t="s">
        <v>14</v>
      </c>
      <c r="I375" t="s">
        <v>12</v>
      </c>
      <c r="J375" t="s">
        <v>487</v>
      </c>
    </row>
    <row r="376" spans="1:12" x14ac:dyDescent="0.3">
      <c r="A376" t="s">
        <v>370</v>
      </c>
      <c r="B376" t="s">
        <v>11</v>
      </c>
      <c r="C376" s="1">
        <v>46162</v>
      </c>
      <c r="D376" s="2" t="s">
        <v>12</v>
      </c>
      <c r="E376" t="s">
        <v>349</v>
      </c>
      <c r="F376">
        <v>9.6999999999999993</v>
      </c>
      <c r="G376">
        <v>28</v>
      </c>
      <c r="H376" t="s">
        <v>299</v>
      </c>
      <c r="I376" t="s">
        <v>12</v>
      </c>
      <c r="K376" t="s">
        <v>473</v>
      </c>
      <c r="L376" s="1">
        <v>46168</v>
      </c>
    </row>
    <row r="377" spans="1:12" x14ac:dyDescent="0.3">
      <c r="A377" t="s">
        <v>371</v>
      </c>
      <c r="B377" t="s">
        <v>11</v>
      </c>
      <c r="C377" s="1">
        <v>46162</v>
      </c>
      <c r="D377" s="2" t="s">
        <v>12</v>
      </c>
      <c r="E377" t="s">
        <v>349</v>
      </c>
      <c r="F377">
        <v>8.6</v>
      </c>
      <c r="G377">
        <v>28</v>
      </c>
      <c r="H377" t="s">
        <v>14</v>
      </c>
      <c r="I377" t="s">
        <v>12</v>
      </c>
      <c r="J377" t="s">
        <v>487</v>
      </c>
    </row>
    <row r="378" spans="1:12" x14ac:dyDescent="0.3">
      <c r="A378" t="s">
        <v>372</v>
      </c>
      <c r="B378" t="s">
        <v>11</v>
      </c>
      <c r="C378" s="1">
        <v>46162</v>
      </c>
      <c r="D378" s="2" t="s">
        <v>12</v>
      </c>
      <c r="E378" t="s">
        <v>349</v>
      </c>
      <c r="F378">
        <v>8.6999999999999993</v>
      </c>
      <c r="G378">
        <v>28</v>
      </c>
      <c r="H378" t="s">
        <v>14</v>
      </c>
      <c r="I378" t="s">
        <v>12</v>
      </c>
      <c r="K378" t="s">
        <v>473</v>
      </c>
      <c r="L378" s="1">
        <v>46168</v>
      </c>
    </row>
    <row r="379" spans="1:12" x14ac:dyDescent="0.3">
      <c r="A379" t="s">
        <v>373</v>
      </c>
      <c r="B379" t="s">
        <v>11</v>
      </c>
      <c r="C379" s="1">
        <v>46162</v>
      </c>
      <c r="D379" s="2" t="s">
        <v>12</v>
      </c>
      <c r="E379" t="s">
        <v>349</v>
      </c>
      <c r="F379">
        <v>9.3000000000000007</v>
      </c>
      <c r="G379">
        <v>28</v>
      </c>
      <c r="H379" t="s">
        <v>299</v>
      </c>
      <c r="I379" t="s">
        <v>12</v>
      </c>
      <c r="K379" t="s">
        <v>473</v>
      </c>
      <c r="L379" s="1">
        <v>46168</v>
      </c>
    </row>
    <row r="380" spans="1:12" x14ac:dyDescent="0.3">
      <c r="A380" t="s">
        <v>374</v>
      </c>
      <c r="B380" t="s">
        <v>11</v>
      </c>
      <c r="C380" s="1">
        <v>46162</v>
      </c>
      <c r="D380" s="2" t="s">
        <v>12</v>
      </c>
      <c r="E380" t="s">
        <v>349</v>
      </c>
      <c r="F380">
        <v>9.4</v>
      </c>
      <c r="G380">
        <v>28</v>
      </c>
      <c r="H380" t="s">
        <v>299</v>
      </c>
      <c r="I380" t="s">
        <v>12</v>
      </c>
      <c r="K380" t="s">
        <v>473</v>
      </c>
      <c r="L380" s="1">
        <v>46168</v>
      </c>
    </row>
    <row r="381" spans="1:12" x14ac:dyDescent="0.3">
      <c r="A381" t="s">
        <v>375</v>
      </c>
      <c r="B381" t="s">
        <v>11</v>
      </c>
      <c r="C381" s="1">
        <v>46162</v>
      </c>
      <c r="D381" s="2" t="s">
        <v>12</v>
      </c>
      <c r="E381" t="s">
        <v>349</v>
      </c>
      <c r="F381" t="s">
        <v>12</v>
      </c>
      <c r="G381">
        <v>28</v>
      </c>
      <c r="H381" t="s">
        <v>12</v>
      </c>
      <c r="I381" t="s">
        <v>12</v>
      </c>
      <c r="K381" t="s">
        <v>473</v>
      </c>
      <c r="L381" s="1">
        <v>46168</v>
      </c>
    </row>
    <row r="382" spans="1:12" x14ac:dyDescent="0.3">
      <c r="A382" t="s">
        <v>376</v>
      </c>
      <c r="B382" t="s">
        <v>11</v>
      </c>
      <c r="C382" s="1">
        <v>46162</v>
      </c>
      <c r="D382" s="2" t="s">
        <v>12</v>
      </c>
      <c r="E382" t="s">
        <v>349</v>
      </c>
      <c r="F382">
        <v>8.4</v>
      </c>
      <c r="G382">
        <v>28</v>
      </c>
      <c r="H382" t="s">
        <v>14</v>
      </c>
      <c r="I382" t="s">
        <v>12</v>
      </c>
      <c r="K382" t="s">
        <v>473</v>
      </c>
      <c r="L382" s="1">
        <v>46168</v>
      </c>
    </row>
    <row r="383" spans="1:12" x14ac:dyDescent="0.3">
      <c r="A383" t="s">
        <v>528</v>
      </c>
      <c r="B383" t="s">
        <v>11</v>
      </c>
      <c r="C383" s="1">
        <v>46170</v>
      </c>
      <c r="D383" s="2" t="s">
        <v>12</v>
      </c>
      <c r="E383" t="s">
        <v>499</v>
      </c>
      <c r="F383">
        <v>2.2999999999999998</v>
      </c>
      <c r="G383">
        <v>29</v>
      </c>
      <c r="H383" t="s">
        <v>14</v>
      </c>
      <c r="I383" t="s">
        <v>12</v>
      </c>
    </row>
    <row r="384" spans="1:12" x14ac:dyDescent="0.3">
      <c r="A384" t="s">
        <v>529</v>
      </c>
      <c r="B384" t="s">
        <v>11</v>
      </c>
      <c r="C384" s="1">
        <v>46170</v>
      </c>
      <c r="D384" s="2" t="s">
        <v>12</v>
      </c>
      <c r="E384" t="s">
        <v>499</v>
      </c>
      <c r="F384" t="s">
        <v>12</v>
      </c>
      <c r="G384">
        <v>29</v>
      </c>
      <c r="H384" t="s">
        <v>14</v>
      </c>
      <c r="I384" t="s">
        <v>12</v>
      </c>
    </row>
    <row r="385" spans="1:10" x14ac:dyDescent="0.3">
      <c r="A385" t="s">
        <v>530</v>
      </c>
      <c r="B385" t="s">
        <v>11</v>
      </c>
      <c r="C385" s="1">
        <v>46170</v>
      </c>
      <c r="D385" s="2" t="s">
        <v>12</v>
      </c>
      <c r="E385" t="s">
        <v>499</v>
      </c>
      <c r="F385">
        <v>2.5</v>
      </c>
      <c r="G385">
        <v>29</v>
      </c>
      <c r="H385" t="s">
        <v>14</v>
      </c>
      <c r="I385" t="s">
        <v>12</v>
      </c>
    </row>
    <row r="386" spans="1:10" x14ac:dyDescent="0.3">
      <c r="A386" t="s">
        <v>500</v>
      </c>
      <c r="B386" t="s">
        <v>11</v>
      </c>
      <c r="C386" s="1">
        <v>46170</v>
      </c>
      <c r="D386" s="2" t="s">
        <v>12</v>
      </c>
      <c r="E386" t="s">
        <v>499</v>
      </c>
      <c r="F386" t="s">
        <v>12</v>
      </c>
      <c r="G386">
        <v>29</v>
      </c>
      <c r="H386" t="s">
        <v>14</v>
      </c>
      <c r="I386" t="s">
        <v>12</v>
      </c>
    </row>
    <row r="387" spans="1:10" x14ac:dyDescent="0.3">
      <c r="A387" t="s">
        <v>531</v>
      </c>
      <c r="B387" t="s">
        <v>11</v>
      </c>
      <c r="C387" s="1">
        <v>46170</v>
      </c>
      <c r="D387" s="2" t="s">
        <v>12</v>
      </c>
      <c r="E387" t="s">
        <v>499</v>
      </c>
      <c r="F387">
        <v>2.5</v>
      </c>
      <c r="G387">
        <v>29</v>
      </c>
      <c r="H387" t="s">
        <v>299</v>
      </c>
      <c r="I387" t="s">
        <v>12</v>
      </c>
    </row>
    <row r="388" spans="1:10" x14ac:dyDescent="0.3">
      <c r="A388" t="s">
        <v>532</v>
      </c>
      <c r="B388" t="s">
        <v>11</v>
      </c>
      <c r="C388" s="1">
        <v>46170</v>
      </c>
      <c r="D388" s="2" t="s">
        <v>12</v>
      </c>
      <c r="E388" t="s">
        <v>499</v>
      </c>
      <c r="F388">
        <v>3</v>
      </c>
      <c r="G388">
        <v>29</v>
      </c>
      <c r="H388" t="s">
        <v>299</v>
      </c>
      <c r="I388" t="s">
        <v>12</v>
      </c>
    </row>
    <row r="389" spans="1:10" x14ac:dyDescent="0.3">
      <c r="A389" t="s">
        <v>533</v>
      </c>
      <c r="B389" t="s">
        <v>11</v>
      </c>
      <c r="C389" s="1">
        <v>46170</v>
      </c>
      <c r="D389" s="2" t="s">
        <v>12</v>
      </c>
      <c r="E389" t="s">
        <v>499</v>
      </c>
      <c r="F389">
        <v>3.3</v>
      </c>
      <c r="G389">
        <v>29</v>
      </c>
      <c r="H389" t="s">
        <v>14</v>
      </c>
      <c r="I389" t="s">
        <v>12</v>
      </c>
    </row>
    <row r="390" spans="1:10" x14ac:dyDescent="0.3">
      <c r="A390" t="s">
        <v>534</v>
      </c>
      <c r="B390" t="s">
        <v>11</v>
      </c>
      <c r="C390" s="1">
        <v>46170</v>
      </c>
      <c r="D390" s="2" t="s">
        <v>12</v>
      </c>
      <c r="E390" t="s">
        <v>499</v>
      </c>
      <c r="F390">
        <v>3.8</v>
      </c>
      <c r="G390">
        <v>29</v>
      </c>
      <c r="H390" t="s">
        <v>14</v>
      </c>
      <c r="I390" t="s">
        <v>12</v>
      </c>
    </row>
    <row r="391" spans="1:10" x14ac:dyDescent="0.3">
      <c r="A391" t="s">
        <v>535</v>
      </c>
      <c r="B391" t="s">
        <v>11</v>
      </c>
      <c r="C391" s="1">
        <v>46170</v>
      </c>
      <c r="D391" s="2" t="s">
        <v>12</v>
      </c>
      <c r="E391" t="s">
        <v>499</v>
      </c>
      <c r="F391">
        <v>2.4</v>
      </c>
      <c r="G391">
        <v>29</v>
      </c>
      <c r="H391" t="s">
        <v>299</v>
      </c>
      <c r="I391" t="s">
        <v>12</v>
      </c>
      <c r="J391" t="s">
        <v>487</v>
      </c>
    </row>
    <row r="392" spans="1:10" x14ac:dyDescent="0.3">
      <c r="A392" t="s">
        <v>536</v>
      </c>
      <c r="B392" t="s">
        <v>11</v>
      </c>
      <c r="C392" s="1">
        <v>46170</v>
      </c>
      <c r="D392" s="2" t="s">
        <v>12</v>
      </c>
      <c r="E392" t="s">
        <v>499</v>
      </c>
      <c r="F392">
        <v>2.2999999999999998</v>
      </c>
      <c r="G392">
        <v>29</v>
      </c>
      <c r="H392" t="s">
        <v>299</v>
      </c>
      <c r="I392" t="s">
        <v>12</v>
      </c>
    </row>
    <row r="393" spans="1:10" x14ac:dyDescent="0.3">
      <c r="A393" t="s">
        <v>537</v>
      </c>
      <c r="B393" t="s">
        <v>11</v>
      </c>
      <c r="C393" s="1">
        <v>46170</v>
      </c>
      <c r="D393" s="2" t="s">
        <v>12</v>
      </c>
      <c r="E393" t="s">
        <v>499</v>
      </c>
      <c r="F393">
        <v>3.2</v>
      </c>
      <c r="G393">
        <v>29</v>
      </c>
      <c r="H393" t="s">
        <v>299</v>
      </c>
      <c r="I393" t="s">
        <v>12</v>
      </c>
    </row>
    <row r="394" spans="1:10" x14ac:dyDescent="0.3">
      <c r="A394" t="s">
        <v>538</v>
      </c>
      <c r="B394" t="s">
        <v>11</v>
      </c>
      <c r="C394" s="1">
        <v>46170</v>
      </c>
      <c r="D394" s="2" t="s">
        <v>12</v>
      </c>
      <c r="E394" t="s">
        <v>499</v>
      </c>
      <c r="F394">
        <v>2.8</v>
      </c>
      <c r="G394">
        <v>29</v>
      </c>
      <c r="H394" t="s">
        <v>299</v>
      </c>
      <c r="I394" t="s">
        <v>12</v>
      </c>
      <c r="J394" t="s">
        <v>487</v>
      </c>
    </row>
    <row r="395" spans="1:10" x14ac:dyDescent="0.3">
      <c r="A395" t="s">
        <v>539</v>
      </c>
      <c r="B395" t="s">
        <v>11</v>
      </c>
      <c r="C395" s="1">
        <v>46170</v>
      </c>
      <c r="D395" s="2" t="s">
        <v>12</v>
      </c>
      <c r="E395" t="s">
        <v>499</v>
      </c>
      <c r="F395">
        <v>2.9</v>
      </c>
      <c r="G395">
        <v>29</v>
      </c>
      <c r="H395" t="s">
        <v>299</v>
      </c>
      <c r="I395" t="s">
        <v>12</v>
      </c>
    </row>
    <row r="396" spans="1:10" x14ac:dyDescent="0.3">
      <c r="A396" t="s">
        <v>540</v>
      </c>
      <c r="B396" t="s">
        <v>11</v>
      </c>
      <c r="C396" s="1">
        <v>46170</v>
      </c>
      <c r="D396" s="2" t="s">
        <v>12</v>
      </c>
      <c r="E396" t="s">
        <v>499</v>
      </c>
      <c r="F396">
        <v>2.6</v>
      </c>
      <c r="G396">
        <v>29</v>
      </c>
      <c r="H396" t="s">
        <v>299</v>
      </c>
      <c r="I396" t="s">
        <v>12</v>
      </c>
    </row>
    <row r="397" spans="1:10" x14ac:dyDescent="0.3">
      <c r="A397" t="s">
        <v>541</v>
      </c>
      <c r="B397" t="s">
        <v>11</v>
      </c>
      <c r="C397" s="1">
        <v>46170</v>
      </c>
      <c r="D397" s="2" t="s">
        <v>12</v>
      </c>
      <c r="E397" t="s">
        <v>499</v>
      </c>
      <c r="F397">
        <v>2.9</v>
      </c>
      <c r="G397">
        <v>29</v>
      </c>
      <c r="H397" t="s">
        <v>299</v>
      </c>
      <c r="I397" t="s">
        <v>12</v>
      </c>
    </row>
    <row r="398" spans="1:10" x14ac:dyDescent="0.3">
      <c r="A398" t="s">
        <v>542</v>
      </c>
      <c r="B398" t="s">
        <v>11</v>
      </c>
      <c r="C398" s="1">
        <v>46170</v>
      </c>
      <c r="D398" s="2" t="s">
        <v>12</v>
      </c>
      <c r="E398" t="s">
        <v>499</v>
      </c>
      <c r="F398">
        <v>2.4</v>
      </c>
      <c r="G398">
        <v>29</v>
      </c>
      <c r="H398" t="s">
        <v>14</v>
      </c>
      <c r="I398" t="s">
        <v>12</v>
      </c>
    </row>
    <row r="399" spans="1:10" x14ac:dyDescent="0.3">
      <c r="A399" t="s">
        <v>543</v>
      </c>
      <c r="B399" t="s">
        <v>11</v>
      </c>
      <c r="C399" s="1">
        <v>46170</v>
      </c>
      <c r="D399" s="2" t="s">
        <v>12</v>
      </c>
      <c r="E399" t="s">
        <v>499</v>
      </c>
      <c r="F399">
        <v>3</v>
      </c>
      <c r="G399">
        <v>29</v>
      </c>
      <c r="H399" t="s">
        <v>14</v>
      </c>
      <c r="I399" t="s">
        <v>12</v>
      </c>
    </row>
    <row r="400" spans="1:10" x14ac:dyDescent="0.3">
      <c r="A400" t="s">
        <v>544</v>
      </c>
      <c r="B400" t="s">
        <v>11</v>
      </c>
      <c r="C400" s="1">
        <v>46170</v>
      </c>
      <c r="D400" s="2" t="s">
        <v>12</v>
      </c>
      <c r="E400" t="s">
        <v>499</v>
      </c>
      <c r="F400">
        <v>1.6</v>
      </c>
      <c r="G400">
        <v>29</v>
      </c>
      <c r="H400" t="s">
        <v>14</v>
      </c>
      <c r="I400" t="s">
        <v>12</v>
      </c>
    </row>
    <row r="401" spans="1:10" x14ac:dyDescent="0.3">
      <c r="A401" t="s">
        <v>545</v>
      </c>
      <c r="B401" t="s">
        <v>11</v>
      </c>
      <c r="C401" s="1">
        <v>46170</v>
      </c>
      <c r="D401" s="2" t="s">
        <v>12</v>
      </c>
      <c r="E401" t="s">
        <v>499</v>
      </c>
      <c r="F401">
        <v>3.3</v>
      </c>
      <c r="G401">
        <v>29</v>
      </c>
      <c r="H401" t="s">
        <v>14</v>
      </c>
      <c r="I401" t="s">
        <v>12</v>
      </c>
    </row>
    <row r="402" spans="1:10" x14ac:dyDescent="0.3">
      <c r="A402" t="s">
        <v>546</v>
      </c>
      <c r="B402" t="s">
        <v>11</v>
      </c>
      <c r="C402" s="1">
        <v>46170</v>
      </c>
      <c r="D402" s="2" t="s">
        <v>12</v>
      </c>
      <c r="E402" t="s">
        <v>499</v>
      </c>
      <c r="F402">
        <v>2.9</v>
      </c>
      <c r="G402">
        <v>29</v>
      </c>
      <c r="H402" t="s">
        <v>299</v>
      </c>
      <c r="I402" t="s">
        <v>12</v>
      </c>
    </row>
    <row r="403" spans="1:10" x14ac:dyDescent="0.3">
      <c r="A403" t="s">
        <v>547</v>
      </c>
      <c r="B403" t="s">
        <v>11</v>
      </c>
      <c r="C403" s="1">
        <v>46170</v>
      </c>
      <c r="D403" s="2" t="s">
        <v>12</v>
      </c>
      <c r="E403" t="s">
        <v>499</v>
      </c>
      <c r="F403">
        <v>2.5</v>
      </c>
      <c r="G403">
        <v>29</v>
      </c>
      <c r="H403" t="s">
        <v>14</v>
      </c>
      <c r="I403" t="s">
        <v>12</v>
      </c>
    </row>
    <row r="404" spans="1:10" x14ac:dyDescent="0.3">
      <c r="A404" t="s">
        <v>548</v>
      </c>
      <c r="B404" t="s">
        <v>11</v>
      </c>
      <c r="C404" s="1">
        <v>46170</v>
      </c>
      <c r="D404" s="2" t="s">
        <v>12</v>
      </c>
      <c r="E404" t="s">
        <v>499</v>
      </c>
      <c r="F404" t="s">
        <v>12</v>
      </c>
      <c r="G404">
        <v>29</v>
      </c>
      <c r="H404" t="s">
        <v>14</v>
      </c>
      <c r="I404" t="s">
        <v>12</v>
      </c>
    </row>
    <row r="405" spans="1:10" x14ac:dyDescent="0.3">
      <c r="A405" t="s">
        <v>549</v>
      </c>
      <c r="B405" t="s">
        <v>11</v>
      </c>
      <c r="C405" s="1">
        <v>46170</v>
      </c>
      <c r="D405" s="2" t="s">
        <v>12</v>
      </c>
      <c r="E405" t="s">
        <v>499</v>
      </c>
      <c r="F405">
        <v>2.6</v>
      </c>
      <c r="G405">
        <v>29</v>
      </c>
      <c r="H405" t="s">
        <v>14</v>
      </c>
      <c r="I405" t="s">
        <v>12</v>
      </c>
    </row>
    <row r="406" spans="1:10" x14ac:dyDescent="0.3">
      <c r="A406" t="s">
        <v>550</v>
      </c>
      <c r="B406" t="s">
        <v>11</v>
      </c>
      <c r="C406" s="1">
        <v>46170</v>
      </c>
      <c r="D406" s="2" t="s">
        <v>12</v>
      </c>
      <c r="E406" t="s">
        <v>499</v>
      </c>
      <c r="F406">
        <v>2.5</v>
      </c>
      <c r="G406">
        <v>29</v>
      </c>
      <c r="H406" t="s">
        <v>299</v>
      </c>
      <c r="I406" t="s">
        <v>12</v>
      </c>
    </row>
    <row r="407" spans="1:10" x14ac:dyDescent="0.3">
      <c r="A407" t="s">
        <v>551</v>
      </c>
      <c r="B407" t="s">
        <v>11</v>
      </c>
      <c r="C407" s="1">
        <v>46170</v>
      </c>
      <c r="D407" s="2" t="s">
        <v>12</v>
      </c>
      <c r="E407" t="s">
        <v>499</v>
      </c>
      <c r="F407">
        <v>2.2000000000000002</v>
      </c>
      <c r="G407">
        <v>29</v>
      </c>
      <c r="H407" t="s">
        <v>299</v>
      </c>
      <c r="I407" t="s">
        <v>12</v>
      </c>
    </row>
    <row r="408" spans="1:10" x14ac:dyDescent="0.3">
      <c r="A408" t="s">
        <v>552</v>
      </c>
      <c r="B408" t="s">
        <v>11</v>
      </c>
      <c r="C408" s="1">
        <v>46170</v>
      </c>
      <c r="D408" s="2" t="s">
        <v>12</v>
      </c>
      <c r="E408" t="s">
        <v>499</v>
      </c>
      <c r="F408">
        <v>3</v>
      </c>
      <c r="G408">
        <v>29</v>
      </c>
      <c r="H408" t="s">
        <v>14</v>
      </c>
      <c r="I408" t="s">
        <v>12</v>
      </c>
    </row>
    <row r="409" spans="1:10" x14ac:dyDescent="0.3">
      <c r="A409" t="s">
        <v>553</v>
      </c>
      <c r="B409" t="s">
        <v>11</v>
      </c>
      <c r="C409" s="1">
        <v>46170</v>
      </c>
      <c r="D409" s="2" t="s">
        <v>12</v>
      </c>
      <c r="E409" t="s">
        <v>499</v>
      </c>
      <c r="F409">
        <v>2.2999999999999998</v>
      </c>
      <c r="G409">
        <v>29</v>
      </c>
      <c r="H409" t="s">
        <v>299</v>
      </c>
      <c r="I409" t="s">
        <v>12</v>
      </c>
    </row>
    <row r="410" spans="1:10" x14ac:dyDescent="0.3">
      <c r="A410" t="s">
        <v>554</v>
      </c>
      <c r="B410" t="s">
        <v>11</v>
      </c>
      <c r="C410" s="1">
        <v>46170</v>
      </c>
      <c r="D410" s="2" t="s">
        <v>12</v>
      </c>
      <c r="E410" t="s">
        <v>499</v>
      </c>
      <c r="F410">
        <v>2.4</v>
      </c>
      <c r="G410">
        <v>29</v>
      </c>
      <c r="H410" t="s">
        <v>299</v>
      </c>
      <c r="I410" t="s">
        <v>12</v>
      </c>
    </row>
    <row r="411" spans="1:10" x14ac:dyDescent="0.3">
      <c r="A411" t="s">
        <v>555</v>
      </c>
      <c r="B411" t="s">
        <v>11</v>
      </c>
      <c r="C411" s="1">
        <v>46170</v>
      </c>
      <c r="D411" s="2" t="s">
        <v>12</v>
      </c>
      <c r="E411" t="s">
        <v>499</v>
      </c>
      <c r="F411">
        <v>2.2999999999999998</v>
      </c>
      <c r="G411">
        <v>29</v>
      </c>
      <c r="H411" t="s">
        <v>299</v>
      </c>
      <c r="I411" t="s">
        <v>12</v>
      </c>
      <c r="J411" t="s">
        <v>487</v>
      </c>
    </row>
    <row r="412" spans="1:10" x14ac:dyDescent="0.3">
      <c r="A412" t="s">
        <v>556</v>
      </c>
      <c r="B412" t="s">
        <v>11</v>
      </c>
      <c r="C412" s="1">
        <v>46170</v>
      </c>
      <c r="D412" s="2" t="s">
        <v>12</v>
      </c>
      <c r="E412" t="s">
        <v>499</v>
      </c>
      <c r="F412">
        <v>2.2999999999999998</v>
      </c>
      <c r="G412">
        <v>29</v>
      </c>
      <c r="H412" t="s">
        <v>299</v>
      </c>
      <c r="I412" t="s">
        <v>12</v>
      </c>
    </row>
    <row r="413" spans="1:10" x14ac:dyDescent="0.3">
      <c r="A413" t="s">
        <v>557</v>
      </c>
      <c r="B413" t="s">
        <v>11</v>
      </c>
      <c r="C413" s="1">
        <v>46170</v>
      </c>
      <c r="D413" s="2" t="s">
        <v>12</v>
      </c>
      <c r="E413" t="s">
        <v>499</v>
      </c>
      <c r="F413">
        <v>2.8</v>
      </c>
      <c r="G413">
        <v>29</v>
      </c>
      <c r="H413" t="s">
        <v>14</v>
      </c>
      <c r="I413" t="s">
        <v>12</v>
      </c>
    </row>
    <row r="414" spans="1:10" x14ac:dyDescent="0.3">
      <c r="A414" t="s">
        <v>558</v>
      </c>
      <c r="B414" t="s">
        <v>11</v>
      </c>
      <c r="C414" s="1">
        <v>46170</v>
      </c>
      <c r="D414" s="2" t="s">
        <v>12</v>
      </c>
      <c r="E414" t="s">
        <v>499</v>
      </c>
      <c r="F414">
        <v>1.9</v>
      </c>
      <c r="G414">
        <v>29</v>
      </c>
      <c r="H414" t="s">
        <v>14</v>
      </c>
      <c r="I414" t="s">
        <v>12</v>
      </c>
    </row>
    <row r="415" spans="1:10" x14ac:dyDescent="0.3">
      <c r="A415" t="s">
        <v>559</v>
      </c>
      <c r="B415" t="s">
        <v>11</v>
      </c>
      <c r="C415" s="1">
        <v>46170</v>
      </c>
      <c r="D415" s="2" t="s">
        <v>12</v>
      </c>
      <c r="E415" t="s">
        <v>499</v>
      </c>
      <c r="F415">
        <v>3</v>
      </c>
      <c r="G415">
        <v>29</v>
      </c>
      <c r="H415" t="s">
        <v>14</v>
      </c>
      <c r="I415" t="s">
        <v>12</v>
      </c>
    </row>
    <row r="416" spans="1:10" x14ac:dyDescent="0.3">
      <c r="A416" t="s">
        <v>560</v>
      </c>
      <c r="B416" t="s">
        <v>11</v>
      </c>
      <c r="C416" s="1">
        <v>46170</v>
      </c>
      <c r="D416" s="2" t="s">
        <v>12</v>
      </c>
      <c r="E416" t="s">
        <v>499</v>
      </c>
      <c r="F416">
        <v>2.8</v>
      </c>
      <c r="G416">
        <v>29</v>
      </c>
      <c r="H416" t="s">
        <v>14</v>
      </c>
      <c r="I416" t="s">
        <v>12</v>
      </c>
    </row>
    <row r="417" spans="1:16" x14ac:dyDescent="0.3">
      <c r="A417" t="s">
        <v>561</v>
      </c>
      <c r="B417" t="s">
        <v>11</v>
      </c>
      <c r="C417" s="1">
        <v>46170</v>
      </c>
      <c r="D417" s="2" t="s">
        <v>12</v>
      </c>
      <c r="E417" t="s">
        <v>499</v>
      </c>
      <c r="F417">
        <v>3.2</v>
      </c>
      <c r="G417">
        <v>29</v>
      </c>
      <c r="H417" t="s">
        <v>299</v>
      </c>
      <c r="I417" t="s">
        <v>12</v>
      </c>
    </row>
    <row r="418" spans="1:16" x14ac:dyDescent="0.3">
      <c r="A418" t="s">
        <v>562</v>
      </c>
      <c r="B418" t="s">
        <v>11</v>
      </c>
      <c r="C418" s="1">
        <v>46170</v>
      </c>
      <c r="D418" s="2" t="s">
        <v>12</v>
      </c>
      <c r="E418" t="s">
        <v>499</v>
      </c>
      <c r="F418">
        <v>2.9</v>
      </c>
      <c r="G418">
        <v>29</v>
      </c>
      <c r="H418" t="s">
        <v>299</v>
      </c>
      <c r="I418" t="s">
        <v>12</v>
      </c>
    </row>
    <row r="419" spans="1:16" x14ac:dyDescent="0.3">
      <c r="A419" t="s">
        <v>498</v>
      </c>
      <c r="B419" t="s">
        <v>11</v>
      </c>
      <c r="C419" s="1">
        <v>46170</v>
      </c>
      <c r="D419" s="2" t="s">
        <v>12</v>
      </c>
      <c r="E419" t="s">
        <v>499</v>
      </c>
      <c r="F419">
        <v>3</v>
      </c>
      <c r="G419">
        <v>29</v>
      </c>
      <c r="H419" t="s">
        <v>14</v>
      </c>
      <c r="I419" t="s">
        <v>12</v>
      </c>
      <c r="J419" t="s">
        <v>106</v>
      </c>
      <c r="P419" t="s">
        <v>501</v>
      </c>
    </row>
    <row r="420" spans="1:16" x14ac:dyDescent="0.3">
      <c r="A420" t="s">
        <v>563</v>
      </c>
      <c r="B420" t="s">
        <v>11</v>
      </c>
      <c r="C420" s="1">
        <v>46170</v>
      </c>
      <c r="D420" s="2" t="s">
        <v>12</v>
      </c>
      <c r="E420" t="s">
        <v>499</v>
      </c>
      <c r="F420">
        <v>3.8</v>
      </c>
      <c r="G420">
        <v>29</v>
      </c>
      <c r="H420" t="s">
        <v>14</v>
      </c>
      <c r="I420" t="s">
        <v>12</v>
      </c>
    </row>
    <row r="421" spans="1:16" x14ac:dyDescent="0.3">
      <c r="A421" t="s">
        <v>564</v>
      </c>
      <c r="B421" t="s">
        <v>11</v>
      </c>
      <c r="C421" s="1">
        <v>46170</v>
      </c>
      <c r="D421" s="2" t="s">
        <v>12</v>
      </c>
      <c r="E421" t="s">
        <v>499</v>
      </c>
      <c r="F421">
        <v>2.2999999999999998</v>
      </c>
      <c r="G421">
        <v>29</v>
      </c>
      <c r="H421" t="s">
        <v>299</v>
      </c>
      <c r="I421" t="s">
        <v>12</v>
      </c>
    </row>
    <row r="422" spans="1:16" x14ac:dyDescent="0.3">
      <c r="A422" t="s">
        <v>565</v>
      </c>
      <c r="B422" t="s">
        <v>11</v>
      </c>
      <c r="C422" s="1">
        <v>46170</v>
      </c>
      <c r="D422" s="2" t="s">
        <v>12</v>
      </c>
      <c r="E422" t="s">
        <v>499</v>
      </c>
      <c r="F422">
        <v>3.3</v>
      </c>
      <c r="G422">
        <v>29</v>
      </c>
      <c r="H422" t="s">
        <v>299</v>
      </c>
      <c r="I422" t="s">
        <v>12</v>
      </c>
    </row>
    <row r="423" spans="1:16" x14ac:dyDescent="0.3">
      <c r="A423"/>
    </row>
  </sheetData>
  <sortState xmlns:xlrd2="http://schemas.microsoft.com/office/spreadsheetml/2017/richdata2" ref="A348:N383">
    <sortCondition ref="A348:A383"/>
  </sortState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467B-4D76-4C39-AB66-C2F6B2D77636}">
  <dimension ref="A2:B22"/>
  <sheetViews>
    <sheetView workbookViewId="0">
      <selection activeCell="D29" sqref="D29"/>
    </sheetView>
  </sheetViews>
  <sheetFormatPr defaultRowHeight="14.4" x14ac:dyDescent="0.3"/>
  <cols>
    <col min="1" max="1" width="12.88671875" bestFit="1" customWidth="1"/>
    <col min="2" max="2" width="14.6640625" bestFit="1" customWidth="1"/>
  </cols>
  <sheetData>
    <row r="2" spans="1:2" x14ac:dyDescent="0.3">
      <c r="A2" t="s">
        <v>566</v>
      </c>
      <c r="B2" t="s">
        <v>567</v>
      </c>
    </row>
    <row r="3" spans="1:2" x14ac:dyDescent="0.3">
      <c r="A3" t="str" cm="1">
        <f t="array" ref="A3:A22">_xlfn.UNIQUE(data!E2:E422)</f>
        <v>POM 7</v>
      </c>
      <c r="B3">
        <f>COUNTIFS(data!$B$2:$B$422, "ssid", data!$E$2:$E$422, Calculations!A3)</f>
        <v>4</v>
      </c>
    </row>
    <row r="4" spans="1:2" x14ac:dyDescent="0.3">
      <c r="A4" t="str">
        <v>PEV 13</v>
      </c>
      <c r="B4">
        <f>COUNTIFS(data!$B$2:$B$422, "ssid", data!$E$2:$E$422, Calculations!A4)</f>
        <v>3</v>
      </c>
    </row>
    <row r="5" spans="1:2" x14ac:dyDescent="0.3">
      <c r="A5" t="str">
        <v>FTL-B2</v>
      </c>
      <c r="B5">
        <f>COUNTIFS(data!$B$2:$B$422, "ssid", data!$E$2:$E$422, Calculations!A5)</f>
        <v>18</v>
      </c>
    </row>
    <row r="6" spans="1:2" x14ac:dyDescent="0.3">
      <c r="A6" t="str">
        <v>PEV 1</v>
      </c>
      <c r="B6">
        <f>COUNTIFS(data!$B$2:$B$422, "ssid", data!$E$2:$E$422, Calculations!A6)</f>
        <v>0</v>
      </c>
    </row>
    <row r="7" spans="1:2" x14ac:dyDescent="0.3">
      <c r="A7" t="str">
        <v>FTL-B1</v>
      </c>
      <c r="B7">
        <f>COUNTIFS(data!$B$2:$B$422, "ssid", data!$E$2:$E$422, Calculations!A7)</f>
        <v>16</v>
      </c>
    </row>
    <row r="8" spans="1:2" x14ac:dyDescent="0.3">
      <c r="A8" t="str">
        <v>PEV 5</v>
      </c>
      <c r="B8">
        <f>COUNTIFS(data!$B$2:$B$422, "ssid", data!$E$2:$E$422, Calculations!A8)</f>
        <v>15</v>
      </c>
    </row>
    <row r="9" spans="1:2" x14ac:dyDescent="0.3">
      <c r="A9" t="str">
        <v>MB 2</v>
      </c>
      <c r="B9">
        <f>COUNTIFS(data!$B$2:$B$422, "ssid", data!$E$2:$E$422, Calculations!A9)</f>
        <v>1</v>
      </c>
    </row>
    <row r="10" spans="1:2" x14ac:dyDescent="0.3">
      <c r="A10" t="str">
        <v>MB2</v>
      </c>
      <c r="B10">
        <f>COUNTIFS(data!$B$2:$B$422, "ssid", data!$E$2:$E$422, Calculations!A10)</f>
        <v>1</v>
      </c>
    </row>
    <row r="11" spans="1:2" x14ac:dyDescent="0.3">
      <c r="A11" t="str">
        <v>POM 1</v>
      </c>
      <c r="B11">
        <f>COUNTIFS(data!$B$2:$B$422, "ssid", data!$E$2:$E$422, Calculations!A11)</f>
        <v>1</v>
      </c>
    </row>
    <row r="12" spans="1:2" x14ac:dyDescent="0.3">
      <c r="A12" t="str">
        <v>Caves</v>
      </c>
      <c r="B12">
        <f>COUNTIFS(data!$B$2:$B$422, "ssid", data!$E$2:$E$422, Calculations!A12)</f>
        <v>30</v>
      </c>
    </row>
    <row r="13" spans="1:2" x14ac:dyDescent="0.3">
      <c r="A13" t="str">
        <v>POM3</v>
      </c>
      <c r="B13">
        <f>COUNTIFS(data!$B$2:$B$422, "ssid", data!$E$2:$E$422, Calculations!A13)</f>
        <v>11</v>
      </c>
    </row>
    <row r="14" spans="1:2" x14ac:dyDescent="0.3">
      <c r="A14" t="str">
        <v>South Canyon</v>
      </c>
      <c r="B14">
        <f>COUNTIFS(data!$B$2:$B$422, "ssid", data!$E$2:$E$422, Calculations!A14)</f>
        <v>30</v>
      </c>
    </row>
    <row r="15" spans="1:2" x14ac:dyDescent="0.3">
      <c r="A15" t="str">
        <v>?</v>
      </c>
      <c r="B15">
        <f>COUNTIFS(data!$B$2:$B$422, "ssid", data!$E$2:$E$422, Calculations!A15)</f>
        <v>1</v>
      </c>
    </row>
    <row r="16" spans="1:2" x14ac:dyDescent="0.3">
      <c r="A16" t="str">
        <v>Dania</v>
      </c>
      <c r="B16">
        <f>COUNTIFS(data!$B$2:$B$422, "ssid", data!$E$2:$E$422, Calculations!A16)-3</f>
        <v>34</v>
      </c>
    </row>
    <row r="17" spans="1:2" x14ac:dyDescent="0.3">
      <c r="A17" t="str">
        <v>Graceland</v>
      </c>
      <c r="B17">
        <f>COUNTIFS(data!$B$2:$B$422, "ssid", data!$E$2:$E$422, Calculations!A17)-3</f>
        <v>28</v>
      </c>
    </row>
    <row r="18" spans="1:2" x14ac:dyDescent="0.3">
      <c r="A18" t="str">
        <v>Hollywood</v>
      </c>
      <c r="B18">
        <f>COUNTIFS(data!$B$2:$B$422, "ssid", data!$E$2:$E$422, Calculations!A18)-3</f>
        <v>13</v>
      </c>
    </row>
    <row r="19" spans="1:2" x14ac:dyDescent="0.3">
      <c r="A19" t="str">
        <v>Emerald Reef</v>
      </c>
      <c r="B19">
        <f>COUNTIFS(data!$B$2:$B$422, "ssid", data!$E$2:$E$422, Calculations!A19)-3</f>
        <v>34</v>
      </c>
    </row>
    <row r="20" spans="1:2" x14ac:dyDescent="0.3">
      <c r="A20" t="str">
        <v>JR's Ledge</v>
      </c>
      <c r="B20">
        <f>COUNTIFS(data!$B$2:$B$422, "ssid", data!$E$2:$E$422, Calculations!A20)-3</f>
        <v>35</v>
      </c>
    </row>
    <row r="21" spans="1:2" x14ac:dyDescent="0.3">
      <c r="A21" t="str">
        <v>Reverse Reef</v>
      </c>
      <c r="B21">
        <f>COUNTIFS(data!$B$2:$B$422, "ssid", data!$E$2:$E$422, Calculations!A21)-3</f>
        <v>32</v>
      </c>
    </row>
    <row r="22" spans="1:2" x14ac:dyDescent="0.3">
      <c r="A22" t="str">
        <v>Dodge Island</v>
      </c>
      <c r="B22">
        <f>COUNTIFS(data!$B$2:$B$422, "ssid", data!$E$2:$E$422, Calculations!A22)-3</f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7" ma:contentTypeDescription="Create a new document." ma:contentTypeScope="" ma:versionID="3c21394b3e62ff0dd2f74d77aac10e1e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fd44893cbb578f8848a5a714ea7c88f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356aba8-c98f-4d1e-afa8-986feb91fa8a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D2A57A-3AE6-4988-ADCC-01B203FD27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8A40D7-D605-49BA-AD09-C27905E7A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12a07d-44b9-43b4-9667-43ab44cb460a"/>
    <ds:schemaRef ds:uri="0633b4e0-801d-4bd0-8271-7209c556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BEA103-B7CA-4FE9-92A8-B4E397803325}">
  <ds:schemaRefs>
    <ds:schemaRef ds:uri="http://schemas.microsoft.com/office/2006/metadata/properties"/>
    <ds:schemaRef ds:uri="http://schemas.microsoft.com/office/infopath/2007/PartnerControls"/>
    <ds:schemaRef ds:uri="0633b4e0-801d-4bd0-8271-7209c556b6f1"/>
    <ds:schemaRef ds:uri="b412a07d-44b9-43b4-9667-43ab44cb46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Hannah-Marie Lamle</dc:creator>
  <cp:keywords/>
  <dc:description/>
  <cp:lastModifiedBy>Hannah-Marie Lamle</cp:lastModifiedBy>
  <cp:revision/>
  <dcterms:created xsi:type="dcterms:W3CDTF">2015-06-05T18:17:20Z</dcterms:created>
  <dcterms:modified xsi:type="dcterms:W3CDTF">2026-05-31T19:08:56Z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  <property fmtid="{D5CDD505-2E9C-101B-9397-08002B2CF9AE}" pid="3" name="MediaServiceImageTags">
    <vt:lpwstr/>
  </property>
</Properties>
</file>